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sheetId="1" r:id="rId5"/>
    <sheet state="visible" name="Budget" sheetId="2" r:id="rId6"/>
    <sheet state="visible" name="Line_Item" sheetId="3" r:id="rId7"/>
    <sheet state="visible" name="Stakeholder" sheetId="4" r:id="rId8"/>
    <sheet state="visible" name="Client" sheetId="5" r:id="rId9"/>
    <sheet state="visible" name="Role" sheetId="6" r:id="rId10"/>
    <sheet state="visible" name="Feature" sheetId="7" r:id="rId11"/>
    <sheet state="visible" name="Risk" sheetId="8" r:id="rId12"/>
    <sheet state="visible" name="Requirement" sheetId="9" r:id="rId13"/>
    <sheet state="visible" name="FunctioFFnal_Requirement" sheetId="10" r:id="rId14"/>
    <sheet state="visible" name="Constraint" sheetId="11" r:id="rId15"/>
    <sheet state="visible" name="Qual_Scenario" sheetId="12" r:id="rId16"/>
    <sheet state="visible" name="Artifact" sheetId="13" r:id="rId17"/>
    <sheet state="visible" name="Decision" sheetId="14" r:id="rId18"/>
    <sheet state="visible" name="Goal" sheetId="15" r:id="rId19"/>
    <sheet state="visible" name="Goal_Quotation" sheetId="16" r:id="rId20"/>
    <sheet state="visible" name="Priority_Level" sheetId="17" r:id="rId21"/>
    <sheet state="visible" name="KPI" sheetId="18" r:id="rId22"/>
    <sheet state="visible" name="Evaluation" sheetId="19" r:id="rId23"/>
    <sheet state="visible" name="Timeline" sheetId="20" r:id="rId24"/>
    <sheet state="visible" name="Milestone" sheetId="21" r:id="rId25"/>
    <sheet state="visible" name="Task" sheetId="22" r:id="rId26"/>
    <sheet state="visible" name="Context" sheetId="23" r:id="rId27"/>
    <sheet state="visible" name="Business" sheetId="24" r:id="rId28"/>
    <sheet state="visible" name="Technical" sheetId="25" r:id="rId29"/>
    <sheet state="visible" name="Adjacent_System" sheetId="26" r:id="rId30"/>
    <sheet state="visible" name="Input_From_Product" sheetId="27" r:id="rId31"/>
    <sheet state="visible" name="Output_From_Product" sheetId="28" r:id="rId32"/>
    <sheet state="visible" name="Relationships" sheetId="29" r:id="rId33"/>
  </sheets>
  <definedNames/>
  <calcPr/>
</workbook>
</file>

<file path=xl/sharedStrings.xml><?xml version="1.0" encoding="utf-8"?>
<sst xmlns="http://schemas.openxmlformats.org/spreadsheetml/2006/main" count="877" uniqueCount="601">
  <si>
    <t>id</t>
  </si>
  <si>
    <t>name</t>
  </si>
  <si>
    <t>description</t>
  </si>
  <si>
    <t>P1</t>
  </si>
  <si>
    <t>PowerPay</t>
  </si>
  <si>
    <t>Zephrins Bakeries located in Barbados asked Keyanola Innovations to produce a Payroll software package to match the  company requirements for both monthly and weekly payroll.  In addition, a second company, River Bay Trading, asked Keyanola to develop a piecework payroll primarily for use in the manufacturing industry where employees are paid based on what their produce and not the time spent on the job.</t>
  </si>
  <si>
    <t>Project ID</t>
  </si>
  <si>
    <t>total</t>
  </si>
  <si>
    <t>B1</t>
  </si>
  <si>
    <t>budget</t>
  </si>
  <si>
    <t>LI1</t>
  </si>
  <si>
    <t>Prelimanary Requirements</t>
  </si>
  <si>
    <t>LI2</t>
  </si>
  <si>
    <t>Logical Design</t>
  </si>
  <si>
    <t>LI3</t>
  </si>
  <si>
    <t>Detailed Requirements</t>
  </si>
  <si>
    <t>LI4</t>
  </si>
  <si>
    <t>Physical Design</t>
  </si>
  <si>
    <t>LI5</t>
  </si>
  <si>
    <t>Implementation</t>
  </si>
  <si>
    <t>LI6</t>
  </si>
  <si>
    <t>Training</t>
  </si>
  <si>
    <t>LI7</t>
  </si>
  <si>
    <t>Installation and Configuration</t>
  </si>
  <si>
    <t>LI8</t>
  </si>
  <si>
    <t>Annual Maintenance and Support</t>
  </si>
  <si>
    <t>S1</t>
  </si>
  <si>
    <t>Employees</t>
  </si>
  <si>
    <t>S2</t>
  </si>
  <si>
    <t>Tax Department</t>
  </si>
  <si>
    <t>S3</t>
  </si>
  <si>
    <t>National Insurance Department</t>
  </si>
  <si>
    <t>S4</t>
  </si>
  <si>
    <t>Banks</t>
  </si>
  <si>
    <t>S5</t>
  </si>
  <si>
    <t xml:space="preserve">Courts </t>
  </si>
  <si>
    <t>S6</t>
  </si>
  <si>
    <t>S7</t>
  </si>
  <si>
    <t>Employer</t>
  </si>
  <si>
    <t>C1</t>
  </si>
  <si>
    <t>Zephrins Bakeries</t>
  </si>
  <si>
    <t>C2</t>
  </si>
  <si>
    <t>River Bay Trading</t>
  </si>
  <si>
    <t>R1</t>
  </si>
  <si>
    <t>Keyanola Innovations</t>
  </si>
  <si>
    <t>F1</t>
  </si>
  <si>
    <t>User Authentication</t>
  </si>
  <si>
    <t xml:space="preserve">System should support a login feature that will allow authorized users to access features of the system. </t>
  </si>
  <si>
    <t>F2</t>
  </si>
  <si>
    <t>Employee Record Maintenance</t>
  </si>
  <si>
    <t xml:space="preserve">System should users to add and update employee information. </t>
  </si>
  <si>
    <t>F3</t>
  </si>
  <si>
    <t>Weekly, Monthly and BiWeekly Payroll</t>
  </si>
  <si>
    <t>Payroll should facilitate payment of weekly paid workers</t>
  </si>
  <si>
    <t>F4</t>
  </si>
  <si>
    <t xml:space="preserve">Employee Statuary Deductions </t>
  </si>
  <si>
    <t>Tax and NIS Government deductions</t>
  </si>
  <si>
    <t>F5</t>
  </si>
  <si>
    <t xml:space="preserve">Employee General Deductions </t>
  </si>
  <si>
    <t>Deductions sent to Stores, Courts and other Employee Debtors</t>
  </si>
  <si>
    <t>F6</t>
  </si>
  <si>
    <t>Employee Allowances</t>
  </si>
  <si>
    <t>Provision allowances</t>
  </si>
  <si>
    <t>F7</t>
  </si>
  <si>
    <t>Staff Loans</t>
  </si>
  <si>
    <t>Makes procvision for staff loans</t>
  </si>
  <si>
    <t>F8</t>
  </si>
  <si>
    <t>Extra Time and Vacation Pay</t>
  </si>
  <si>
    <t>Tracks overtime, shifts, and leave.</t>
  </si>
  <si>
    <t>F9</t>
  </si>
  <si>
    <t>Attendance &amp; Time Integration</t>
  </si>
  <si>
    <t>Inferfaces with standard time and attendance systems</t>
  </si>
  <si>
    <t>F10</t>
  </si>
  <si>
    <t>Salary Calculation</t>
  </si>
  <si>
    <t>Automates gross pay, deductions, and net pay.</t>
  </si>
  <si>
    <t>F11</t>
  </si>
  <si>
    <t>Electronic Payment</t>
  </si>
  <si>
    <t>Direct Deposit / Bank Transfers</t>
  </si>
  <si>
    <t>F12</t>
  </si>
  <si>
    <t>Compliance and Legal Reporting</t>
  </si>
  <si>
    <t>Generates reports required by labor laws, social security agencies, or tax authorities.</t>
  </si>
  <si>
    <t>F13</t>
  </si>
  <si>
    <t>Integration Accounting Systems</t>
  </si>
  <si>
    <t>Send summarized or detailed transactions to General Ledger software</t>
  </si>
  <si>
    <t>F14</t>
  </si>
  <si>
    <t>Self-Service Portal</t>
  </si>
  <si>
    <t>Employees can view/download payslips, update personal details, and check leave balances.</t>
  </si>
  <si>
    <t>F15</t>
  </si>
  <si>
    <t>Audit Trails &amp; Security</t>
  </si>
  <si>
    <t>Tracks who made changes to payroll data.</t>
  </si>
  <si>
    <t>F16</t>
  </si>
  <si>
    <t>Analytics &amp; Dashboards</t>
  </si>
  <si>
    <t>For example cost per department</t>
  </si>
  <si>
    <t>F17</t>
  </si>
  <si>
    <t>Automated Reminders</t>
  </si>
  <si>
    <t>Payroll deadlines, compliance filings</t>
  </si>
  <si>
    <t>F18</t>
  </si>
  <si>
    <t>Customizable Pay Structures</t>
  </si>
  <si>
    <t>Ability to add different types of allowances and deduciions</t>
  </si>
  <si>
    <t>probability</t>
  </si>
  <si>
    <t>cost</t>
  </si>
  <si>
    <t>Mitigation</t>
  </si>
  <si>
    <t>RISK1</t>
  </si>
  <si>
    <t>Frequent changes in legislation (tax rates, NIS/NSSF, health surcharges, levy changes, etc.) → software may become non-compliant if updates lag.</t>
  </si>
  <si>
    <t>High</t>
  </si>
  <si>
    <t>Build configurable tax/deduction engine, monitor BRA &amp; NIS updates regularly.</t>
  </si>
  <si>
    <t>RISK2</t>
  </si>
  <si>
    <t xml:space="preserve">Integration with local banks and the unpredictable  interface changes </t>
  </si>
  <si>
    <t xml:space="preserve">High </t>
  </si>
  <si>
    <t>Provide flexible export formats (CSV/TXT/XML), partner with banks for specs.</t>
  </si>
  <si>
    <t>RISK3</t>
  </si>
  <si>
    <t>Data breach (salaries, NIS numbers)</t>
  </si>
  <si>
    <t>Medium</t>
  </si>
  <si>
    <t>Enforce encryption (at rest/in transit), audit logs and access controls</t>
  </si>
  <si>
    <t>RISK4</t>
  </si>
  <si>
    <t>High maintenance costs</t>
  </si>
  <si>
    <t>Make system configurable</t>
  </si>
  <si>
    <t>RISK5</t>
  </si>
  <si>
    <t>Lack of user adoption</t>
  </si>
  <si>
    <t>Provide training, intuitive UI, and self-service features.</t>
  </si>
  <si>
    <t>RISK6</t>
  </si>
  <si>
    <t>Vendor sustainability</t>
  </si>
  <si>
    <t>Ensure long-term support agreements, possible partnerships with established IT firms.</t>
  </si>
  <si>
    <t>type</t>
  </si>
  <si>
    <t>REQ1</t>
  </si>
  <si>
    <t>User Interfance must consistent</t>
  </si>
  <si>
    <t>All screens must allow same approach for similar tasks</t>
  </si>
  <si>
    <t>REQ2</t>
  </si>
  <si>
    <t>Flexible Colour Schema</t>
  </si>
  <si>
    <t xml:space="preserve">User should be to customize colour environment </t>
  </si>
  <si>
    <t>REQ3</t>
  </si>
  <si>
    <t>Use Login required</t>
  </si>
  <si>
    <t>User must log in</t>
  </si>
  <si>
    <t>REQ4</t>
  </si>
  <si>
    <t>Performance</t>
  </si>
  <si>
    <t>The system shall process payroll for up to 10,000 employees within 15 minutes</t>
  </si>
  <si>
    <t>REQ5</t>
  </si>
  <si>
    <t>Scalability</t>
  </si>
  <si>
    <t>The system shall handle growth to 50% more employees per year without performance degradation.</t>
  </si>
  <si>
    <t>REQ6</t>
  </si>
  <si>
    <t>Security</t>
  </si>
  <si>
    <t>All sensitive payroll data (salaries, tax info) shall be encrypted at rest and in transit. The system shall enforce role-based access control for administrators, HR staff, and employees. All sensitive payroll data (salaries, tax info) shall be encrypted at rest and in transit.</t>
  </si>
  <si>
    <t>REQ7</t>
  </si>
  <si>
    <t>Usability</t>
  </si>
  <si>
    <t>The system shall provide a self-service interface that is accessible to users with minimal training.</t>
  </si>
  <si>
    <t>REQ8</t>
  </si>
  <si>
    <t>Maintainability</t>
  </si>
  <si>
    <t>The system shall support updates without disrupting payroll processing.</t>
  </si>
  <si>
    <t>REQ9</t>
  </si>
  <si>
    <t>Auditability</t>
  </si>
  <si>
    <t>The system shall maintain audit logs of all payroll operations for at least 7 years.</t>
  </si>
  <si>
    <t>FR1</t>
  </si>
  <si>
    <t xml:space="preserve">The system should make provision for Administrative Users of the payroll  to access the features of the system via a username and password </t>
  </si>
  <si>
    <t>FR2</t>
  </si>
  <si>
    <t xml:space="preserve">The system should make provision for Employees to access specific features of the payroll system via a username and password </t>
  </si>
  <si>
    <t>FR3</t>
  </si>
  <si>
    <t>Administrative users must register their username, email address and password within a process that involves the user reveiving a token from the registration process and then presentating this token to the registration process on which the registration process would be considered complete for once the presented token matches the toekn that was sent to the user.</t>
  </si>
  <si>
    <t>FR4</t>
  </si>
  <si>
    <t>The system should provide a mechanism for registered Administrative and Employee users to change their passwords</t>
  </si>
  <si>
    <t>FR5</t>
  </si>
  <si>
    <t>System should use role-based access control to  allow users specific payroll resources.  JSON Web Tokens (JWT) should be used with enforce role-based access control.</t>
  </si>
  <si>
    <t>FR6</t>
  </si>
  <si>
    <t>The role-based access control approach provide protection for both web page and process access.</t>
  </si>
  <si>
    <t>FR7</t>
  </si>
  <si>
    <t>The system must allow adding, updating, and deleting employee information.
Employee profiles must include:
1.	Employee ID
2.	Name
3.	Address and contact information
4.	Department and job title
5.	Employment type (e.g., full-time, part-time, contract)
6.	Start date and (if applicable) end date</t>
  </si>
  <si>
    <t>FR8</t>
  </si>
  <si>
    <t>The system should  maintain data on pay rate (hourly/salary) and support multiple earning types (basic pay, overtime, bonuses, allowances, commissions ).</t>
  </si>
  <si>
    <t>FR9</t>
  </si>
  <si>
    <t>The system should  maintain Tax &amp; Deduction Information:
1.	Store employee tax codes or brackets.
2.	Support statutory deductions (e.g., income tax, national insurance, social security).
3.	Allow definition of custom deductions (e.g., pension, union dues, health insurance).</t>
  </si>
  <si>
    <t>FR10</t>
  </si>
  <si>
    <t>Ssyetm should record working hours via manual entry or timesheet upload. Support overtime, double time, triple time, leave, and absence tracking.</t>
  </si>
  <si>
    <t>FR11</t>
  </si>
  <si>
    <t>System should allow administrative payroll users to validate timesheets for completeness and correctness before payroll processing.</t>
  </si>
  <si>
    <t>FR12</t>
  </si>
  <si>
    <t>System should calculate gross pay based on hourly/daily rate × hours/days worked. 
Apply overtime rules and different pay rates (e.g., weekend, holiday).
Apply deductions (taxes, benefits, loans).
Calculate net pay for each employee.</t>
  </si>
  <si>
    <t>FR13</t>
  </si>
  <si>
    <t xml:space="preserve">Ability to run payroll on a weekly basis manually triggered. </t>
  </si>
  <si>
    <t>FR14</t>
  </si>
  <si>
    <t>System should allow ad-hoc or off-cycle payroll runs if needed.</t>
  </si>
  <si>
    <t>FR15</t>
  </si>
  <si>
    <t>System should support rollback or reprocessing of weekly payroll runs.</t>
  </si>
  <si>
    <t>FR16</t>
  </si>
  <si>
    <t>System should generate payment files for bank transfer, nis and tax uploads files.</t>
  </si>
  <si>
    <t>FR17</t>
  </si>
  <si>
    <t>System should generate pay slips per employee showing: Gross pay, Deductions, Allowances, Net pay with Year-to-date totals for each</t>
  </si>
  <si>
    <t>FR18</t>
  </si>
  <si>
    <t>System should provie payroll summary repor per period, Ddduction and tax summaries and departmental payroll cost breakdown.</t>
  </si>
  <si>
    <t>FR19</t>
  </si>
  <si>
    <t>System should store historical payroll data for a configurable period (e.g., 7 years) and allow the retrieval of past pay slips and reports.</t>
  </si>
  <si>
    <t>FR20</t>
  </si>
  <si>
    <t>Employee Portal should allow employees to view: Pay slips, Tax documents (e.g., TD4, TD5, etc.) and Leave balances and attendance records.</t>
  </si>
  <si>
    <t>FR21</t>
  </si>
  <si>
    <t>In the Barbados context, both an employee and an employer pays a NIS contribution. Contributions are calculated on an employee’s “insurable earnings” (gross wages plus other remuneration in cash or in kind) 
up to a maximum ceiling. Let us look at the following example of how to calculate an employee contribution. Suppose an employee in the private sector earns BBD $1,100 in a week.
The weekly ceiling is BBD $1,201, so the full $1,100 is within the ceiling.
The employee contribution rate is ~11% of insurable earnings (assuming the full standard rate applies).
Contribution = $1,100 × 11% = BBD $121.00 (approx).
If the earnings had been above $1,201 (say $1,500), you would only apply the rate up to $1,201, i.e., $1,201 × 11% ≈ $132.11.</t>
  </si>
  <si>
    <t>FR22</t>
  </si>
  <si>
    <t>For weekly-paid workers the insurable earnings ceiling is around BBD $1,201 per week; for monthly paid workers about BBD $5,200 per month on which contributions are calculated.</t>
  </si>
  <si>
    <t>FR23</t>
  </si>
  <si>
    <t>For employeesof private companies between 17 and 65 (“R” category) the employee rate is 11.0% total of various funds (including National Insurance, training levy, health service contribution) up to the ceiling.
For employees past pensionable age or under 16  (“E” category) there is a much reduced contribution (for example 0.5%) on the full salary and other reduced contributions up to the ceiling.</t>
  </si>
  <si>
    <t>FR24</t>
  </si>
  <si>
    <t xml:space="preserve">To the tax deduction for an employee the following the steps:  
1. Calculate gross remuneration for the week (salary + allowances + benefits) less non-taxable allowances/benefits.
2. Determine annual equivalent taxable income (if useful) but for weekly payroll you would apply weekly table.
3. Deduct the pro-rated weekly personal allowance:
   3.1 If allowance is $25,000/year → weekly allowance = $25,000 ÷ 52 ≈ BBD $480.77.
   3.2 If pensioner allowance applies (&gt;60 &amp; pension) then use the higher allowance and divide by 52.
4. Calculate taxable earnings for that week = gross income for the week − that week’s allowance.
5. Apply tax rate structure:
	5.1 On the portion up to equivalent of the first BBD $50,000/year (≈ BBD $961.54/week) apply 12.5%.
	5.2 On any amount above that apply 28.5%.
	5.3 Then divide to get the weekly tax deduction.
6. Insert into weekly payroll deduction field. 
</t>
  </si>
  <si>
    <t>FR25</t>
  </si>
  <si>
    <t>Generate summary reports for statutory authorities (e.g., tax office, social security).</t>
  </si>
  <si>
    <t>FR26</t>
  </si>
  <si>
    <t>Allow authorized users to define deduction types (e.g., union dues, loans, etc.).</t>
  </si>
  <si>
    <t>FR27</t>
  </si>
  <si>
    <t>Allow deduction formulas or percentage rates to be configured globally or by employee group (e.g., department, pay grade, contract type).</t>
  </si>
  <si>
    <t>FR28</t>
  </si>
  <si>
    <t>Allow fixed-amount or percentage-based deductions.</t>
  </si>
  <si>
    <t>FR29</t>
  </si>
  <si>
    <t>Allow configuration of deduction frequency (e.g., per pay period, monthly, one-time).</t>
  </si>
  <si>
    <t>FR30</t>
  </si>
  <si>
    <t>Allow deduction limits (maximum per period or cumulative limit) to prevent over-deductions.</t>
  </si>
  <si>
    <t>FR31</t>
  </si>
  <si>
    <t>Allow assigning specific deduction types to individual employees or groups.</t>
  </si>
  <si>
    <t>FR32</t>
  </si>
  <si>
    <t>Allow overriding global deduction rates at the employee level.</t>
  </si>
  <si>
    <t>FR33</t>
  </si>
  <si>
    <t>Allow marking certain deductions as optional (e.g., savings plan) and others as mandatory.</t>
  </si>
  <si>
    <t>FR34</t>
  </si>
  <si>
    <t>Maintain a historical record of all deductions assigned to employees (with effective dates and modification history).</t>
  </si>
  <si>
    <t>FR35</t>
  </si>
  <si>
    <r>
      <rPr>
        <rFont val="Calibri"/>
        <color theme="1"/>
      </rPr>
      <t xml:space="preserve">Support deduction for </t>
    </r>
    <r>
      <rPr>
        <rFont val="Calibri"/>
        <b/>
        <color theme="1"/>
        <sz val="11.0"/>
      </rPr>
      <t>loan repayments</t>
    </r>
    <r>
      <rPr>
        <rFont val="Calibri"/>
        <color theme="1"/>
        <sz val="11.0"/>
      </rPr>
      <t>, including balance tracking and automatic termination when fully paid.</t>
    </r>
  </si>
  <si>
    <t>FR36</t>
  </si>
  <si>
    <t>Allow administrators to suspend, reactivate, or terminate deductions for specific employees.</t>
  </si>
  <si>
    <t>FR37</t>
  </si>
  <si>
    <t>Automatically calculate deduction amounts during each payroll run based on predefined rules or formulas.</t>
  </si>
  <si>
    <t>FR38</t>
  </si>
  <si>
    <t>Ensure that all deductions are calculated after gross pay and before net pay is finalized.</t>
  </si>
  <si>
    <t>FR39</t>
  </si>
  <si>
    <t>Respect deduction precedence or priority (e.g., statutory deductions processed before voluntary ones).</t>
  </si>
  <si>
    <t>FR40</t>
  </si>
  <si>
    <t>Adjust deductions dynamically if employee pay changes (e.g., overtime, bonuses).</t>
  </si>
  <si>
    <t>FR41</t>
  </si>
  <si>
    <t>Handle pro-rated deductions for partial pay periods (e.g., new hires, terminations, unpaid leave).</t>
  </si>
  <si>
    <t>FR42</t>
  </si>
  <si>
    <t>Validate that the total deductions do not exceed the employee’s gross earnings (preventing negative net pay).</t>
  </si>
  <si>
    <t>FR43</t>
  </si>
  <si>
    <t>Provide detailed deduction reports per employee, department, or pay period.</t>
  </si>
  <si>
    <t>FR44</t>
  </si>
  <si>
    <t>Provide year-to-date (YTD) deduction summaries for each employee.</t>
  </si>
  <si>
    <t>FR45</t>
  </si>
  <si>
    <t>Allow export of deduction data to Excel, PDF, or accounting systems.</t>
  </si>
  <si>
    <t>FR46</t>
  </si>
  <si>
    <t>Maintain a secure audit trail for all deduction-related transactions</t>
  </si>
  <si>
    <t>FR47</t>
  </si>
  <si>
    <t>Allow administrators to define different allowance types, such as: Housing, Car, Transport, Travel Allowance, Utility and Miscellaneous Allowances</t>
  </si>
  <si>
    <t>FR48</t>
  </si>
  <si>
    <t>Allow configuration of fixed amount or percentage-based allowances (e.g., 10% of basic salary).</t>
  </si>
  <si>
    <t>FR49</t>
  </si>
  <si>
    <t>Support taxable and non-taxable classification of allowances.</t>
  </si>
  <si>
    <t>FR50</t>
  </si>
  <si>
    <t>Support recurring (paid each pay period) and one-time allowances.</t>
  </si>
  <si>
    <t>FR51</t>
  </si>
  <si>
    <t>Allow setting of effective dates (start and end) for each allowance type.</t>
  </si>
  <si>
    <t>FR52</t>
  </si>
  <si>
    <t>Allow linking of allowances to specific job grades, departments, or employment categories.</t>
  </si>
  <si>
    <t>FR53</t>
  </si>
  <si>
    <t>Provide fields for maximum limits or caps per allowance type.</t>
  </si>
  <si>
    <t>FR54</t>
  </si>
  <si>
    <t>Allow temporary or conditional allowances (e.g., “project allowance valid for 3 months”).*****</t>
  </si>
  <si>
    <t>FR55</t>
  </si>
  <si>
    <t>Allow assignment of one or more allowance types to each employee.</t>
  </si>
  <si>
    <t>FR56</t>
  </si>
  <si>
    <t>Maintain a full history of all assigned allowances, including changes and effective periods.</t>
  </si>
  <si>
    <t>FR57</t>
  </si>
  <si>
    <t>Allow administrators to suspend, reactivate, or terminate allowances.</t>
  </si>
  <si>
    <t>FR58</t>
  </si>
  <si>
    <t>Automatically calculate all employee allowances during payroll processing.</t>
  </si>
  <si>
    <t>FR59</t>
  </si>
  <si>
    <t>FR60</t>
  </si>
  <si>
    <t>Calculate allowances based on: Fixed amount, Percentage of basic salary, Days worked (for daily-rated staff)</t>
  </si>
  <si>
    <t>FR61</t>
  </si>
  <si>
    <t>Allow pro-rating of allowances for: Partial month employment, Unpaid leave and Mid-month hires or resignations</t>
  </si>
  <si>
    <t>FR62</t>
  </si>
  <si>
    <t>Allow recalculation of allowances when base pay changes.</t>
  </si>
  <si>
    <t>FR63</t>
  </si>
  <si>
    <t>Display all allowance components on the employee payslip and payroll register.</t>
  </si>
  <si>
    <t>FR64</t>
  </si>
  <si>
    <t>The system shall:
1. Distinguish between taxable and non-taxable allowances in accordance with statutory regulations.
2. Automatically include taxable allowances in gross taxable income.
3. Exclude non-taxable allowances from income tax and statutory deduction calculations.
4. Allow easy configuration updates when tax laws or exemption rules change.</t>
  </si>
  <si>
    <t>FR65</t>
  </si>
  <si>
    <t>The system shall:
1.	Generate allowance reports by employee, department, location, or allowance type.
2.	Provide year-to-date (YTD) summaries for each allowance.
3.	Include allowance details in payslips, pay registers, and ledger exports.
4.	Support export of allowance data to Excel, CSV, or PDF formats.
5.	Produce summary reports for management review and budgeting (e.g., “Total Transport Allowances by Department”).
6.	Provide filters for date range, pay period, and allowance type.</t>
  </si>
  <si>
    <t>FR66</t>
  </si>
  <si>
    <t>Allow configuration of overtime rates (e.g., 1.5x, 2x, or custom multiplier) based on organizational policy or labour law.</t>
  </si>
  <si>
    <t>FR67</t>
  </si>
  <si>
    <t>Support both hourly-based and time range-based overtime calculation.</t>
  </si>
  <si>
    <t>FR68</t>
  </si>
  <si>
    <t>Enable setting of minimum overtime thresholds (e.g., more than 8 hours per day or 40 hours per week).</t>
  </si>
  <si>
    <t>FR69</t>
  </si>
  <si>
    <t>Allow defining eligibility rules for overtime (e.g., for permanent staff only or specific job categories).</t>
  </si>
  <si>
    <t>FR70</t>
  </si>
  <si>
    <t>Allow the linking of overtime rates to specific work shifts, projects, or locations.</t>
  </si>
  <si>
    <t>FR71</t>
  </si>
  <si>
    <t>The system shall:
1.	Retrieve the employee’s basic salary from their job grade, contract, or employment record.
2.	Support both fixed salary and hourly wage employees.
3.	Automatically prorate salary for employees who: Join mid-period, erminate mid-period, Take unpaid leave or absences</t>
  </si>
  <si>
    <t>FR72</t>
  </si>
  <si>
    <t>The system shall:
	Compute gross pay as:
"Gross Pay"="Basic Salary"+"Allowances"+"Overtime"+"Bonuses" 
	Compute total deductions as:
"Total Deductions"="Statutory Deductions"+"Voluntary Deductions"+"Loan Repayments" 
	Compute net pay as:
"Net Pay"="Gross Pay"-"Total Deductions" 
	Display the full breakdown of gross pay, deductions, and net pay in the pay slip.</t>
  </si>
  <si>
    <t>FR73</t>
  </si>
  <si>
    <t>The system shall:
1.	Allow configuration of payment methods for each employee, including: Cash, Bank transfer (direct deposit), Cheque (manual or system-generated) 
2.	Store bank account details securely, including: Bank name, Branch name or code, Account holder name, Account number 
3.	Validate that each employee has a valid payment method before payroll finalization.</t>
  </si>
  <si>
    <t>FR74</t>
  </si>
  <si>
    <t>The system shall:
1.	Automatically generate electronic payment files (e.g., ACH, CSV, XML, or bank-specific format) for salary disbursement.
2.	Allow authorized users to review, approve, and release payment batches.
3.	Support batch or single payment execution, depending on organizational policy.
4.	Allow payments to be processed: Automatically after payroll approval or Manually by finance personnel upon confirmation
5.	Display a payment summary report before execution showing: Total payment amount, Number of employees, Bank and account details summary, Any excluded employees or errors</t>
  </si>
  <si>
    <t>FR75</t>
  </si>
  <si>
    <t>The system shall:
•	Support integration with multiple banking systems through:
1.	API-based bank connections
2.	Upload/download of bank-compatible payment files</t>
  </si>
  <si>
    <t>FR76</t>
  </si>
  <si>
    <t>The system must generate a Monthly Statement &amp; Declaration of Insurance for an employer, showing all employees, their insurable earnings, and NIC contributions for a given month and year. The report must comply with NIC/NIS submission standards.</t>
  </si>
  <si>
    <t>FR77</t>
  </si>
  <si>
    <t>Report Header Requirements for NIS Report. The report must display the following fields at the top of each page:
Employer Name
Example: Zephirin's Bakeries, INC
Employer Registration Number
Example: 931-0038
Report Title:
Monthly Statement &amp; Declaration of Insurance
Date Generated
System-generated current date.
Payment Year
Example: 2015
Payment Month
Example: February
Page Number
Format: Page X</t>
  </si>
  <si>
    <t>FR78</t>
  </si>
  <si>
    <t>Employee Record Requirements for NIS Report.
For each employee, the system must capture and display one row per employee, containing:
3.1 Identifiers
Employee NIS Number
Example: 5102100145
Employment Type Code
Typically R (Regular) or EI (Employment Injury).
Employee Full Name
Employee National Registration Number
Example: 098581
3.2 Insurable Earnings
For each week of the month:
Week 1 Earnings
Week 2 Earnings
Week 3 Earnings
Week 4 Earnings
Week 5 Earnings (if applicable)
The system must allow up to 5 weekly entries per month.
3.3 Calculated Totals
Total Insurable Earnings
Sum of WK1–WK5.
Employee Contribution
Calculated using NIC contribution rate rules.
Employer Contribution
Also based on NIC rules (higher rate).
Example values (from sample):
Employee: $81.81
Employer: $91.13</t>
  </si>
  <si>
    <t>FR79</t>
  </si>
  <si>
    <t>Calculations &amp; Business Rules for NIS Report
4.1 Weekly Earnings
Weekly earnings may be 0, valid entry.
If no earnings are present for a week, the system records 0.00.
4.2 Total Insurable Earnings
Total = WK1 + WK2 + WK3 + WK4 + WK5
4.3 Contribution Calculations
The system must apply NIS/NIC formulas:
Employee_Contribution = Total_Earnings * employee_rate
Employer_Contribution = Total_Earnings * employer_rate
4.4 Cumulative Totals
At the bottom of each page, show:
Cumulative number of employees processed so far
Cumulative insurable earnings</t>
  </si>
  <si>
    <t>FR80</t>
  </si>
  <si>
    <t>At the end of the final page of the NIS Report, generate a summary section:
5.1 Summary Fields
No. of Regular Employees
No. of E.I. Employees
Total Employees
Regular Earnings
E.I. Earnings
Total Earnings
Employee Contributions Total
Employer Contributions Total</t>
  </si>
  <si>
    <t>FR81</t>
  </si>
  <si>
    <t>The system must generate a valid TD5 Information Return XML file and human-readable TD5 report for submission to the BRA, based on annual employee income, allowances, deductions, and employer details.
irdInformationReturn
 ├── informationReturnSummary
 │     ├── informationReturnReporter
 │     └── informationReturnStats
 └── data (type=payeReportInfoContainer)
       └── payeReportInfo (one per employee)</t>
  </si>
  <si>
    <t>FR82</t>
  </si>
  <si>
    <t>Employer (Reporter) Details for TD5 Report
The system must include:
tin – Employer Tax Identification Number
Example: 20031187
branch – Employer branch code
Example: 1
sender information (contact details)
Name
Email
Phone
Position
Reporter Name (company name)
Reporter Address
Address1
Address2
Validation Rules
TIN must be numeric and 8–10 digits.
Email must be valid RFC-822 format.
Phone must contain digits only.
Address1 required; Address2 optional.</t>
  </si>
  <si>
    <t>FR83</t>
  </si>
  <si>
    <t>Information Return Stats for TD5 Report
XML fields must include:
period
Format: YYYYMM
Example: 201512 (December 2015)
action
Values: new, update, delete
totalReportees
Count of &lt;payeReportInfo&gt; entries.
amountReported
Total of all IncomeTaxDeduction values OR total employment income (depending on BRA requirement).
System Rules
Automatically compute totalReportees.
Automatically sum amountReported fields.
Validate that period corresponds to selected tax year.</t>
  </si>
  <si>
    <t>FR84</t>
  </si>
  <si>
    <t>Employee (Reportee) Record Requirements for TD5 Report
Each employee must have one &lt;payeReportInfo&gt; node.
4.1 Reportee Identification Fields 
Required fields:
tin – Employee tax ID
branch – Usually 0
name – Full legal name
address1
address2 (optional)
Validation Rules
Employee TIN must be numeric.
Name must match payroll records.
Address1 required.</t>
  </si>
  <si>
    <t>FR85</t>
  </si>
  <si>
    <t>Income and Deduction Fields (Per Employee) for TD5 Report
System must compute &amp; populate:
XML Field	Description
NISDeductions	Total NIS deducted for year
SuperannuationProvidentFundDeductions	Pension/Superannuation contributions
TaxCode	Employee tax code (e.g., W250)
EmploymentIncome	Total employment income for year
IncomeTaxDeduction	Total PAYE deducted
TotalAllowancesBenefits	Sum of all allowances
Utilities	Utility allowances
MiscellaneousAllowancesBenefits	Misc benefits
Traveling	Travel allowance
Entertainment	Entertainment allowance
Housing	Housing benefit
Vehicle	Vehicle benefit
BonusPayments	Bonuses paid
BasicSalary	Base salary for year
BonusPaymentsToShares	Share-based bonus
TaxPaidEmployerSalary	Tax paid by employer on salary
TaxPaidEmployerHousing	Tax paid by employer for housing
ContractGratuity	Gratuity payments
System Rules
EmploymentIncome = BasicSalary + BonusPayments + Allowances.
IncomeTaxDeduction must be the sum of monthly PAYE withheld.
All monetary fields must be formatted with 2 decimal places.
Zero values must be included as 0 or 0.0 depending on field type.</t>
  </si>
  <si>
    <t>FR86</t>
  </si>
  <si>
    <t xml:space="preserve">Employer-Level Totals for TD5 Report
The system must compute:
Total number of employees included
Total income reported
Total taxes deducted
Total NIS collected
Total allowances
</t>
  </si>
  <si>
    <t>FR87</t>
  </si>
  <si>
    <t>Employee-Level Calculations for TD5 Report
Using payroll data, the system must:
Aggregate annual earnings
Sum PAYE deductions
Sum NIS contributions
Calculate taxable benefits
Validate tax code usage</t>
  </si>
  <si>
    <t>FR88</t>
  </si>
  <si>
    <t>The system must generate a monthly report summarizing employer insurance contributions (NIS), employee taxes, gross earnings, and related payroll information, formatted in compliance with the Barbados National Insurance Scheme (NIS) Monthly Statement &amp; Declaration of Insurance.
The system must generate a Monthly Tax/NIS Report containing:
Employer information
Payment year and month
Individual employee NIS and tax deductions
Gross earnings
Applicable tax code
Employee TAMIS ID (if available)
Cumulative totals
Multiple pages as required
The report must support both:
Human-readable format (PDF/HTML)
Machine-readable format (JSON, XML, or internal database structure)**</t>
  </si>
  <si>
    <t>FR89</t>
  </si>
  <si>
    <t>The report must display the following employer details on every page:
Field	Requirement
Employer Name	Required (e.g., Zephirin’s Bakeries, INC)
Employer Registration Number	Required (e.g., 931-0038)
Payment Year	Required (e.g., 2015)
Payment Month	Required (e.g., February)
Report Generation Date	Automatically inserted (Date of report creation)
Page Number	Automatically assigned
Validation
Employer Registration Number must be alphanumeric and validated against system employer table.
Payment month must be one of the 12 months.
Year must be 4 digits.</t>
  </si>
  <si>
    <t>FR90</t>
  </si>
  <si>
    <t>Rules for Tax Report
1.	If TAMIS ID is unavailable, leave blank (system must not error).
2.	Gross = insurable earnings × statutory formula (if applied), or sourced directly from payroll.
3.	NIS amount must follow monthly insurable earnings rules.
4.	Tax amount = PAYE withheld for the period.
5.	Dates must be formatted as DD MMM YYYY.</t>
  </si>
  <si>
    <t>CST1</t>
  </si>
  <si>
    <t xml:space="preserve">Legal </t>
  </si>
  <si>
    <t>The system must comply with local tax laws (e.g., PAYE, NIS, Social Security, Medicare, pension deductions).</t>
  </si>
  <si>
    <t>CST2</t>
  </si>
  <si>
    <t>Compliance with minimum wage, overtime, leave entitlements, and working hours regulations.</t>
  </si>
  <si>
    <t>CST3</t>
  </si>
  <si>
    <t>Payroll involves sensitive employee information, so the system must follow privacy laws</t>
  </si>
  <si>
    <t>CST4</t>
  </si>
  <si>
    <t>Records must be stored and retrievable for statutory audits and reporting</t>
  </si>
  <si>
    <t>CST5</t>
  </si>
  <si>
    <t>Technical</t>
  </si>
  <si>
    <t>System must handle increasing employee numbers without performance degradation.</t>
  </si>
  <si>
    <t>CST6</t>
  </si>
  <si>
    <t>Data in transit and at rest must be protected</t>
  </si>
  <si>
    <t>CST7</t>
  </si>
  <si>
    <t>Internal controls must prevent unauthorized salary changes, ghost employees, or duplicate payments.</t>
  </si>
  <si>
    <t>CST8</t>
  </si>
  <si>
    <t>Backups and redundancy are required to ensure payroll continuity in case of failures.</t>
  </si>
  <si>
    <t>source</t>
  </si>
  <si>
    <t>stimulus</t>
  </si>
  <si>
    <t>environment</t>
  </si>
  <si>
    <t>artefact</t>
  </si>
  <si>
    <t>response</t>
  </si>
  <si>
    <t>response_measure</t>
  </si>
  <si>
    <t>QS1</t>
  </si>
  <si>
    <t>Fast Payroll Run</t>
  </si>
  <si>
    <t>Payroll Administrator</t>
  </si>
  <si>
    <t>Requests monthly payroll processing for all employees</t>
  </si>
  <si>
    <t>End of month, week high load (100 + employees)</t>
  </si>
  <si>
    <t>Payroll processing engine</t>
  </si>
  <si>
    <t>System calculates salaries, deductions, and generates pay slips</t>
  </si>
  <si>
    <t>Completed within 10 minutes, 100% accuracy</t>
  </si>
  <si>
    <t>QS2</t>
  </si>
  <si>
    <t>Payslip Access</t>
  </si>
  <si>
    <t>Employee</t>
  </si>
  <si>
    <t>Requests to view payslip online</t>
  </si>
  <si>
    <t>Normal working hours, 300 concurrent requests</t>
  </si>
  <si>
    <t>Employee self-service portal</t>
  </si>
  <si>
    <t>Payslip displayed with all details</t>
  </si>
  <si>
    <t>95% of requests respond in &lt;3 seconds</t>
  </si>
  <si>
    <t>QS3</t>
  </si>
  <si>
    <t>Unauthorized Salary Change Attempt</t>
  </si>
  <si>
    <t>Unauthorized Staff</t>
  </si>
  <si>
    <t>Attempts to modify salary data</t>
  </si>
  <si>
    <t>Normal operations</t>
  </si>
  <si>
    <t>Payroll database and access control system</t>
  </si>
  <si>
    <t>Access denied, attempt logged</t>
  </si>
  <si>
    <t>100% of unauthorized attempts blocked, audit trail recorded</t>
  </si>
  <si>
    <t>QS4</t>
  </si>
  <si>
    <t>Tax Rule Update</t>
  </si>
  <si>
    <t>Government / Regulatory Body</t>
  </si>
  <si>
    <t>Change in tax calculation rules</t>
  </si>
  <si>
    <t>Before next payroll cycle</t>
  </si>
  <si>
    <t>Payroll rules configuration</t>
  </si>
  <si>
    <t>Admin updates configuration without code changes</t>
  </si>
  <si>
    <t>Updates applied in &lt;2 hours, new calculations verified</t>
  </si>
  <si>
    <t>QS5</t>
  </si>
  <si>
    <t>Payroll History Request</t>
  </si>
  <si>
    <t>Compliance Officer</t>
  </si>
  <si>
    <t>Requests audit report for employee payroll history</t>
  </si>
  <si>
    <t>Audit logging system</t>
  </si>
  <si>
    <t>System generates payroll history report</t>
  </si>
  <si>
    <t>Report available within 2 minutes, covering all changes</t>
  </si>
  <si>
    <t>QS6</t>
  </si>
  <si>
    <t>Concurrent Salary Update Handling</t>
  </si>
  <si>
    <t>HR Administrator</t>
  </si>
  <si>
    <t>Two admins try to update the same employee’s salary simultaneously</t>
  </si>
  <si>
    <t>Payroll database transaction manager</t>
  </si>
  <si>
    <t>System handles concurrency and ensures only one valid update is applied</t>
  </si>
  <si>
    <t>No data corruption, updates resolved within 2 seconds</t>
  </si>
  <si>
    <t>QS7</t>
  </si>
  <si>
    <t>Employee Bank Detail Validation</t>
  </si>
  <si>
    <t>Employee enters incorrect bank account format</t>
  </si>
  <si>
    <t>Bank detail validation module</t>
  </si>
  <si>
    <t>System rejects input with a clear error message</t>
  </si>
  <si>
    <t>100% invalid inputs flagged instantly</t>
  </si>
  <si>
    <t>QS8</t>
  </si>
  <si>
    <t>Scalable Payroll Expansion</t>
  </si>
  <si>
    <t>Company Growth</t>
  </si>
  <si>
    <t>Employee count increases from 10,000 to 50,000</t>
  </si>
  <si>
    <t>Future payroll cycle</t>
  </si>
  <si>
    <t>System processes expanded payroll without redesign</t>
  </si>
  <si>
    <t>Payroll still completes in &lt;10 minutes</t>
  </si>
  <si>
    <t>QS9</t>
  </si>
  <si>
    <t>Data Privacy Access Request</t>
  </si>
  <si>
    <t>Requests access to their personal payroll data</t>
  </si>
  <si>
    <t>Data privacy and reporting module</t>
  </si>
  <si>
    <t>System provides employee’s payroll data only to them</t>
  </si>
  <si>
    <t>100% accuracy, no unauthorized data exposure</t>
  </si>
  <si>
    <t>QS10</t>
  </si>
  <si>
    <t>Automated Backup During Payroll Run</t>
  </si>
  <si>
    <t>System Scheduler</t>
  </si>
  <si>
    <t>Nightly scheduled backup occurs during payroll batch processing</t>
  </si>
  <si>
    <t>End of month payroll run</t>
  </si>
  <si>
    <t>Database backup subsystem</t>
  </si>
  <si>
    <t>System continues processing without interruption</t>
  </si>
  <si>
    <t>No downtime, backup completes successfully</t>
  </si>
  <si>
    <t>A1</t>
  </si>
  <si>
    <t>Application Service</t>
  </si>
  <si>
    <t>A2</t>
  </si>
  <si>
    <t>User Interface</t>
  </si>
  <si>
    <t>A3</t>
  </si>
  <si>
    <t>Payroll database</t>
  </si>
  <si>
    <t>Database</t>
  </si>
  <si>
    <t>A4</t>
  </si>
  <si>
    <t>Configuration</t>
  </si>
  <si>
    <t>A5</t>
  </si>
  <si>
    <t>Libraries / Packages</t>
  </si>
  <si>
    <t>A6</t>
  </si>
  <si>
    <t>Data Management Component</t>
  </si>
  <si>
    <t>A7</t>
  </si>
  <si>
    <t>Business Logic Component</t>
  </si>
  <si>
    <t>A8</t>
  </si>
  <si>
    <t>Access control system</t>
  </si>
  <si>
    <t>A9</t>
  </si>
  <si>
    <t>Data privacy</t>
  </si>
  <si>
    <t>A10</t>
  </si>
  <si>
    <t>Infrastructure</t>
  </si>
  <si>
    <t>A11</t>
  </si>
  <si>
    <t>Reporting module</t>
  </si>
  <si>
    <t>Reporting</t>
  </si>
  <si>
    <t>date</t>
  </si>
  <si>
    <t>D1</t>
  </si>
  <si>
    <t xml:space="preserve">modular/microservices architecture - separate services for payroll processing, reporting, authentication etc. </t>
  </si>
  <si>
    <t>D2</t>
  </si>
  <si>
    <t>web-based employee self-service portal</t>
  </si>
  <si>
    <t>D3</t>
  </si>
  <si>
    <t>web-based payroll portal</t>
  </si>
  <si>
    <t>D4</t>
  </si>
  <si>
    <t>ETL (Extract, Transfer and load) jobs will be used on a case by case basis to interface with HR, time and attendance, NIS and Tax systems</t>
  </si>
  <si>
    <t>D5</t>
  </si>
  <si>
    <t>Database Model: relational using MySQL 9</t>
  </si>
  <si>
    <t xml:space="preserve">D6 </t>
  </si>
  <si>
    <t>Role-based access control (RBAC) will be used to control access to payroll resources</t>
  </si>
  <si>
    <t>D7</t>
  </si>
  <si>
    <r>
      <rPr>
        <rFont val="Calibri"/>
        <color theme="1"/>
        <sz val="11.0"/>
      </rPr>
      <t xml:space="preserve">Making payroll </t>
    </r>
    <r>
      <rPr>
        <rFont val="Calibri"/>
        <b/>
        <color theme="1"/>
        <sz val="11.0"/>
      </rPr>
      <t>rule-driven and configurable</t>
    </r>
    <r>
      <rPr>
        <rFont val="Calibri"/>
        <color theme="1"/>
        <sz val="11.0"/>
      </rPr>
      <t xml:space="preserve"> (tax rules, deductions, overtime formulas) so staff can update without code changes.</t>
    </r>
  </si>
  <si>
    <t>D8</t>
  </si>
  <si>
    <t>Supporting multiple cycles (weekly, bi-weekly, monthly, peicework) within the same system.</t>
  </si>
  <si>
    <t>D9</t>
  </si>
  <si>
    <t>Self-Service:Employees can view/download payslips, update personal info, and manage tax documents online.</t>
  </si>
  <si>
    <t>D10</t>
  </si>
  <si>
    <t>Reporting:Providing built-in reporting dashboards (e.g., payroll summaries, compliance reports).</t>
  </si>
  <si>
    <t>D11</t>
  </si>
  <si>
    <t>Deployment Environment: on-premise server</t>
  </si>
  <si>
    <t>G1</t>
  </si>
  <si>
    <t>Comply with local labour laws, minimum wage, overtime rules, statutory deductions (e.g. National Insurance, Social Security, health levies)</t>
  </si>
  <si>
    <t>G2</t>
  </si>
  <si>
    <t>Support tax filings, remittances, local government forms.</t>
  </si>
  <si>
    <t>G3</t>
  </si>
  <si>
    <t>Be able to handle changes in legislation (frequent in some jurisdictions).</t>
  </si>
  <si>
    <t>G4</t>
  </si>
  <si>
    <t>Calculate salaries, deductions, bonuses correctly.</t>
  </si>
  <si>
    <t>G5</t>
  </si>
  <si>
    <t>Prevent under- or over-payments.</t>
  </si>
  <si>
    <t>G6</t>
  </si>
  <si>
    <t>Accurate record keeping for audit and employee trust.</t>
  </si>
  <si>
    <t>G7</t>
  </si>
  <si>
    <t>Pay employees on scheduled pay dates (weekly, bi-weekly, monthly).</t>
  </si>
  <si>
    <t>G8</t>
  </si>
  <si>
    <t>Ensure timely remittances to statutory bodies.</t>
  </si>
  <si>
    <t>G9</t>
  </si>
  <si>
    <t>Rapid generation of reports and pay slips.</t>
  </si>
  <si>
    <t>G10</t>
  </si>
  <si>
    <t>Employees should be able to view payslips, bank details, leave balances, etc.</t>
  </si>
  <si>
    <t>G11</t>
  </si>
  <si>
    <t>HR users (payroll admins) need intuitive tools to adjust deductions, run reports etc.</t>
  </si>
  <si>
    <t>G12</t>
  </si>
  <si>
    <t>Able to support multi-jurisdiction operations (within the Caribbean: different islands/countries).</t>
  </si>
  <si>
    <t>G13</t>
  </si>
  <si>
    <t>Modular enough to scale up to many employees.</t>
  </si>
  <si>
    <t>G14</t>
  </si>
  <si>
    <t>Protect sensitive data (salary, bank account info, personal identity).</t>
  </si>
  <si>
    <t>G15</t>
  </si>
  <si>
    <t>Adhere to privacy laws or best practices.</t>
  </si>
  <si>
    <t>G16</t>
  </si>
  <si>
    <t>System should be maintainable over time (updates, bug fixes).</t>
  </si>
  <si>
    <t>G17</t>
  </si>
  <si>
    <t>Minimize operational costs (hosting, staff, support).</t>
  </si>
  <si>
    <t>G18</t>
  </si>
  <si>
    <t>System must avoid downtime around pay periods.</t>
  </si>
  <si>
    <t>G19</t>
  </si>
  <si>
    <t>Backup and recovery; resilience especially if localized infrastructure is less stable.</t>
  </si>
  <si>
    <t>text</t>
  </si>
  <si>
    <t>GQ1</t>
  </si>
  <si>
    <t>System must be secure</t>
  </si>
  <si>
    <t>value</t>
  </si>
  <si>
    <t>PL1</t>
  </si>
  <si>
    <t>metric</t>
  </si>
  <si>
    <t>K1</t>
  </si>
  <si>
    <t>time_to_market</t>
  </si>
  <si>
    <t>result</t>
  </si>
  <si>
    <t>E1</t>
  </si>
  <si>
    <t>2025-12-31</t>
  </si>
  <si>
    <t>Met</t>
  </si>
  <si>
    <t>start_date</t>
  </si>
  <si>
    <t>end_date</t>
  </si>
  <si>
    <t>T1</t>
  </si>
  <si>
    <t>2025-01-01</t>
  </si>
  <si>
    <t>M1</t>
  </si>
  <si>
    <t>MVP Release</t>
  </si>
  <si>
    <t>2025-09-01</t>
  </si>
  <si>
    <t>TSK1</t>
  </si>
  <si>
    <t>Design Login Page</t>
  </si>
  <si>
    <t>Design the login page</t>
  </si>
  <si>
    <t>TSK2</t>
  </si>
  <si>
    <t>Implement OAuth2</t>
  </si>
  <si>
    <t>Implementation of OAuth2</t>
  </si>
  <si>
    <t>CTX1</t>
  </si>
  <si>
    <t>System Context</t>
  </si>
  <si>
    <t>BIZ1</t>
  </si>
  <si>
    <t>Banking regulations</t>
  </si>
  <si>
    <t>TECH1</t>
  </si>
  <si>
    <t>Encryption required</t>
  </si>
  <si>
    <t>owner</t>
  </si>
  <si>
    <t>AS1</t>
  </si>
  <si>
    <t>Payment Gateway</t>
  </si>
  <si>
    <t>External Partner</t>
  </si>
  <si>
    <t>INP1</t>
  </si>
  <si>
    <t>Login Request</t>
  </si>
  <si>
    <t>Request object</t>
  </si>
  <si>
    <t>OUT1</t>
  </si>
  <si>
    <t>Access Token</t>
  </si>
  <si>
    <t>Returned JWT token</t>
  </si>
  <si>
    <t>start_id</t>
  </si>
  <si>
    <t>end_id</t>
  </si>
  <si>
    <t>HAS_BUDGET</t>
  </si>
  <si>
    <t>HAS_LINE_ITEM</t>
  </si>
  <si>
    <t>HAS_STAKEHOLDER</t>
  </si>
  <si>
    <t>PLAYS_ROLE</t>
  </si>
  <si>
    <t>HAS_CLIENT</t>
  </si>
  <si>
    <t>OWNED_BY</t>
  </si>
  <si>
    <t>DELIVERS</t>
  </si>
  <si>
    <t>FACES</t>
  </si>
  <si>
    <t>THREATENS</t>
  </si>
  <si>
    <t>HAS_REQUIREMENT</t>
  </si>
  <si>
    <t>RAISED_BY</t>
  </si>
  <si>
    <t>SATISFIED_BY</t>
  </si>
  <si>
    <t>HAS_FUNCTIONAL</t>
  </si>
  <si>
    <t>QS_SEC</t>
  </si>
  <si>
    <t>CST_SEC</t>
  </si>
  <si>
    <t>SATISFIES</t>
  </si>
  <si>
    <t>QS_PERF</t>
  </si>
  <si>
    <t>CST_PERF</t>
  </si>
  <si>
    <t>QS_USA</t>
  </si>
  <si>
    <t>CST_USA</t>
  </si>
  <si>
    <t>QS_SCA</t>
  </si>
  <si>
    <t>CST_SCA</t>
  </si>
  <si>
    <t>HAS_CONSTRAINT</t>
  </si>
  <si>
    <t>PRODUCES</t>
  </si>
  <si>
    <t>USED_BY</t>
  </si>
  <si>
    <t>HAS_ARTIFACT</t>
  </si>
  <si>
    <t>HAS_DECISION</t>
  </si>
  <si>
    <t>MADE_BY</t>
  </si>
  <si>
    <t>AFFECTS</t>
  </si>
  <si>
    <t>HAS_GOAL</t>
  </si>
  <si>
    <t>STATES</t>
  </si>
  <si>
    <t>EXPRESSES</t>
  </si>
  <si>
    <t>HAS_PRIORITY</t>
  </si>
  <si>
    <t>SUPPORTED_BY</t>
  </si>
  <si>
    <t>MEASURES</t>
  </si>
  <si>
    <t>EVALUATES</t>
  </si>
  <si>
    <t>HAS_TIMELINE</t>
  </si>
  <si>
    <t>HAS_MILESTONE</t>
  </si>
  <si>
    <t>IMPLEMENTED_BY</t>
  </si>
  <si>
    <t>DEPENDS_ON</t>
  </si>
  <si>
    <t>HAS_TASK</t>
  </si>
  <si>
    <t>OPERATES_IN</t>
  </si>
  <si>
    <t>CAN_BE</t>
  </si>
  <si>
    <t>INTERFACES_WITH</t>
  </si>
  <si>
    <t>RECEIVES</t>
  </si>
  <si>
    <t>SENDS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</si>
</sst>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theme="1"/>
      <name val="Calibri"/>
    </font>
    <font>
      <color theme="1"/>
      <name val="Calibri"/>
      <scheme val="minor"/>
    </font>
    <font>
      <sz val="11.0"/>
      <color theme="1"/>
      <name val="Calibri"/>
    </font>
    <font>
      <sz val="12.0"/>
      <color theme="1"/>
      <name val="Times New Roman"/>
    </font>
    <font>
      <i/>
      <sz val="11.0"/>
      <color theme="1"/>
      <name val="Calibri"/>
    </font>
  </fonts>
  <fills count="2">
    <fill>
      <patternFill patternType="none"/>
    </fill>
    <fill>
      <patternFill patternType="lightGray"/>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49" xfId="0" applyAlignment="1" applyFont="1" applyNumberFormat="1">
      <alignment shrinkToFit="0" wrapText="1"/>
    </xf>
    <xf borderId="0" fillId="0" fontId="3" numFmtId="0" xfId="0" applyAlignment="1" applyFont="1">
      <alignment shrinkToFit="0" wrapText="1"/>
    </xf>
    <xf borderId="2" fillId="0" fontId="1" numFmtId="0" xfId="0" applyAlignment="1" applyBorder="1" applyFont="1">
      <alignment horizontal="center" vertical="top"/>
    </xf>
    <xf borderId="0" fillId="0" fontId="1" numFmtId="0" xfId="0" applyAlignment="1" applyFont="1">
      <alignment horizontal="center" vertical="top"/>
    </xf>
    <xf borderId="0" fillId="0" fontId="1" numFmtId="49" xfId="0" applyAlignment="1" applyFont="1" applyNumberFormat="1">
      <alignment horizontal="left" shrinkToFit="0" vertical="top" wrapText="1"/>
    </xf>
    <xf borderId="0" fillId="0" fontId="4" numFmtId="0" xfId="0" applyAlignment="1" applyFont="1">
      <alignment vertical="center"/>
    </xf>
    <xf borderId="0" fillId="0" fontId="4" numFmtId="0" xfId="0" applyAlignment="1" applyFont="1">
      <alignment shrinkToFit="0" vertical="center" wrapText="1"/>
    </xf>
    <xf borderId="0" fillId="0" fontId="5" numFmtId="0" xfId="0" applyFont="1"/>
    <xf borderId="0" fillId="0" fontId="3" numFmtId="1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45.29"/>
    <col customWidth="1" min="3" max="3" width="90.86"/>
    <col customWidth="1" min="4" max="26" width="8.86"/>
  </cols>
  <sheetData>
    <row r="1">
      <c r="A1" s="1" t="s">
        <v>0</v>
      </c>
      <c r="B1" s="1" t="s">
        <v>1</v>
      </c>
      <c r="C1" s="1" t="s">
        <v>2</v>
      </c>
    </row>
    <row r="2">
      <c r="A2" s="2" t="s">
        <v>3</v>
      </c>
      <c r="B2" s="2" t="s">
        <v>4</v>
      </c>
      <c r="C2" s="3" t="s">
        <v>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34.43"/>
    <col customWidth="1" min="3" max="3" width="23.14"/>
    <col customWidth="1" min="4" max="26" width="8.86"/>
  </cols>
  <sheetData>
    <row r="1">
      <c r="A1" s="1" t="s">
        <v>6</v>
      </c>
      <c r="B1" s="1" t="s">
        <v>7</v>
      </c>
    </row>
    <row r="2">
      <c r="A2" s="2" t="s">
        <v>8</v>
      </c>
      <c r="B2" s="2">
        <v>29000.0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36.86"/>
    <col customWidth="1" min="3" max="26" width="8.86"/>
  </cols>
  <sheetData>
    <row r="1">
      <c r="A1" s="1" t="s">
        <v>0</v>
      </c>
      <c r="B1" s="1" t="s">
        <v>2</v>
      </c>
      <c r="C1" s="1" t="s">
        <v>9</v>
      </c>
    </row>
    <row r="2">
      <c r="A2" s="2" t="s">
        <v>10</v>
      </c>
      <c r="B2" s="2" t="s">
        <v>11</v>
      </c>
      <c r="C2" s="2">
        <v>2000.0</v>
      </c>
    </row>
    <row r="3">
      <c r="A3" s="2" t="s">
        <v>12</v>
      </c>
      <c r="B3" s="2" t="s">
        <v>13</v>
      </c>
      <c r="C3" s="2">
        <v>2000.0</v>
      </c>
    </row>
    <row r="4">
      <c r="A4" s="2" t="s">
        <v>14</v>
      </c>
      <c r="B4" s="2" t="s">
        <v>15</v>
      </c>
      <c r="C4" s="2">
        <v>4000.0</v>
      </c>
    </row>
    <row r="5">
      <c r="A5" s="2" t="s">
        <v>16</v>
      </c>
      <c r="B5" s="2" t="s">
        <v>17</v>
      </c>
      <c r="C5" s="2">
        <v>4000.0</v>
      </c>
    </row>
    <row r="6">
      <c r="A6" s="2" t="s">
        <v>18</v>
      </c>
      <c r="B6" s="2" t="s">
        <v>19</v>
      </c>
      <c r="C6" s="2">
        <v>10000.0</v>
      </c>
    </row>
    <row r="7">
      <c r="A7" s="2" t="s">
        <v>20</v>
      </c>
      <c r="B7" s="2" t="s">
        <v>21</v>
      </c>
      <c r="C7" s="2">
        <v>5000.0</v>
      </c>
    </row>
    <row r="8">
      <c r="A8" s="2" t="s">
        <v>22</v>
      </c>
      <c r="B8" s="2" t="s">
        <v>23</v>
      </c>
      <c r="C8" s="2">
        <v>2000.0</v>
      </c>
    </row>
    <row r="9">
      <c r="C9" s="2">
        <f>SUM(C2:C8)</f>
        <v>29000</v>
      </c>
    </row>
    <row r="11">
      <c r="A11" s="2" t="s">
        <v>24</v>
      </c>
      <c r="B11" s="2" t="s">
        <v>25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30.86"/>
    <col customWidth="1" min="3" max="26" width="8.86"/>
  </cols>
  <sheetData>
    <row r="1">
      <c r="A1" s="1" t="s">
        <v>0</v>
      </c>
      <c r="B1" s="1" t="s">
        <v>1</v>
      </c>
    </row>
    <row r="2">
      <c r="A2" s="2" t="s">
        <v>26</v>
      </c>
      <c r="B2" s="2" t="s">
        <v>27</v>
      </c>
    </row>
    <row r="3">
      <c r="A3" s="2" t="s">
        <v>28</v>
      </c>
      <c r="B3" s="2" t="s">
        <v>29</v>
      </c>
    </row>
    <row r="4">
      <c r="A4" s="2" t="s">
        <v>30</v>
      </c>
      <c r="B4" s="2" t="s">
        <v>31</v>
      </c>
    </row>
    <row r="5">
      <c r="A5" s="2" t="s">
        <v>32</v>
      </c>
      <c r="B5" s="2" t="s">
        <v>33</v>
      </c>
    </row>
    <row r="6">
      <c r="A6" s="2" t="s">
        <v>34</v>
      </c>
      <c r="B6" s="2" t="s">
        <v>35</v>
      </c>
    </row>
    <row r="7">
      <c r="A7" s="2" t="s">
        <v>36</v>
      </c>
      <c r="B7" s="2" t="s">
        <v>27</v>
      </c>
    </row>
    <row r="8">
      <c r="A8" s="2" t="s">
        <v>37</v>
      </c>
      <c r="B8" s="2" t="s">
        <v>38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26.86"/>
    <col customWidth="1" min="3" max="26" width="8.86"/>
  </cols>
  <sheetData>
    <row r="1">
      <c r="A1" s="1" t="s">
        <v>0</v>
      </c>
      <c r="B1" s="1" t="s">
        <v>1</v>
      </c>
    </row>
    <row r="2">
      <c r="A2" s="2" t="s">
        <v>39</v>
      </c>
      <c r="B2" s="2" t="s">
        <v>40</v>
      </c>
    </row>
    <row r="3">
      <c r="A3" s="2" t="s">
        <v>41</v>
      </c>
      <c r="B3" s="2" t="s">
        <v>42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36.14"/>
    <col customWidth="1" min="3" max="26" width="8.86"/>
  </cols>
  <sheetData>
    <row r="1">
      <c r="A1" s="1" t="s">
        <v>0</v>
      </c>
      <c r="B1" s="1" t="s">
        <v>1</v>
      </c>
    </row>
    <row r="2">
      <c r="A2" s="2" t="s">
        <v>43</v>
      </c>
      <c r="B2" s="2" t="s">
        <v>44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51.0"/>
    <col customWidth="1" min="3" max="3" width="64.86"/>
    <col customWidth="1" min="4" max="26" width="8.86"/>
  </cols>
  <sheetData>
    <row r="1">
      <c r="A1" s="1" t="s">
        <v>0</v>
      </c>
      <c r="B1" s="1" t="s">
        <v>1</v>
      </c>
      <c r="C1" s="1" t="s">
        <v>2</v>
      </c>
    </row>
    <row r="2">
      <c r="A2" s="2" t="s">
        <v>45</v>
      </c>
      <c r="B2" s="2" t="s">
        <v>46</v>
      </c>
      <c r="C2" s="4" t="s">
        <v>47</v>
      </c>
    </row>
    <row r="3">
      <c r="A3" s="2" t="s">
        <v>48</v>
      </c>
      <c r="B3" s="2" t="s">
        <v>49</v>
      </c>
      <c r="C3" s="4" t="s">
        <v>50</v>
      </c>
    </row>
    <row r="4">
      <c r="A4" s="2" t="s">
        <v>51</v>
      </c>
      <c r="B4" s="2" t="s">
        <v>52</v>
      </c>
      <c r="C4" s="4" t="s">
        <v>53</v>
      </c>
    </row>
    <row r="5">
      <c r="A5" s="2" t="s">
        <v>54</v>
      </c>
      <c r="B5" s="2" t="s">
        <v>55</v>
      </c>
      <c r="C5" s="4" t="s">
        <v>56</v>
      </c>
    </row>
    <row r="6">
      <c r="A6" s="2" t="s">
        <v>57</v>
      </c>
      <c r="B6" s="2" t="s">
        <v>58</v>
      </c>
      <c r="C6" s="4" t="s">
        <v>59</v>
      </c>
    </row>
    <row r="7">
      <c r="A7" s="2" t="s">
        <v>60</v>
      </c>
      <c r="B7" s="2" t="s">
        <v>61</v>
      </c>
      <c r="C7" s="4" t="s">
        <v>62</v>
      </c>
    </row>
    <row r="8">
      <c r="A8" s="2" t="s">
        <v>63</v>
      </c>
      <c r="B8" s="2" t="s">
        <v>64</v>
      </c>
      <c r="C8" s="4" t="s">
        <v>65</v>
      </c>
    </row>
    <row r="9">
      <c r="A9" s="2" t="s">
        <v>66</v>
      </c>
      <c r="B9" s="2" t="s">
        <v>67</v>
      </c>
      <c r="C9" s="4" t="s">
        <v>68</v>
      </c>
    </row>
    <row r="10">
      <c r="A10" s="2" t="s">
        <v>69</v>
      </c>
      <c r="B10" s="2" t="s">
        <v>70</v>
      </c>
      <c r="C10" s="4" t="s">
        <v>71</v>
      </c>
    </row>
    <row r="11">
      <c r="A11" s="2" t="s">
        <v>72</v>
      </c>
      <c r="B11" s="2" t="s">
        <v>73</v>
      </c>
      <c r="C11" s="4" t="s">
        <v>74</v>
      </c>
    </row>
    <row r="12">
      <c r="A12" s="2" t="s">
        <v>75</v>
      </c>
      <c r="B12" s="2" t="s">
        <v>76</v>
      </c>
      <c r="C12" s="4" t="s">
        <v>77</v>
      </c>
    </row>
    <row r="13">
      <c r="A13" s="2" t="s">
        <v>78</v>
      </c>
      <c r="B13" s="2" t="s">
        <v>79</v>
      </c>
      <c r="C13" s="4" t="s">
        <v>80</v>
      </c>
    </row>
    <row r="14">
      <c r="A14" s="2" t="s">
        <v>81</v>
      </c>
      <c r="B14" s="2" t="s">
        <v>82</v>
      </c>
      <c r="C14" s="4" t="s">
        <v>83</v>
      </c>
    </row>
    <row r="15">
      <c r="A15" s="2" t="s">
        <v>84</v>
      </c>
      <c r="B15" s="2" t="s">
        <v>85</v>
      </c>
      <c r="C15" s="4" t="s">
        <v>86</v>
      </c>
    </row>
    <row r="16">
      <c r="A16" s="2" t="s">
        <v>87</v>
      </c>
      <c r="B16" s="2" t="s">
        <v>88</v>
      </c>
      <c r="C16" s="2" t="s">
        <v>89</v>
      </c>
    </row>
    <row r="17">
      <c r="A17" s="2" t="s">
        <v>90</v>
      </c>
      <c r="B17" s="2" t="s">
        <v>91</v>
      </c>
      <c r="C17" s="2" t="s">
        <v>92</v>
      </c>
    </row>
    <row r="18">
      <c r="A18" s="2" t="s">
        <v>93</v>
      </c>
      <c r="B18" s="2" t="s">
        <v>94</v>
      </c>
      <c r="C18" s="2" t="s">
        <v>95</v>
      </c>
    </row>
    <row r="19">
      <c r="A19" s="2" t="s">
        <v>96</v>
      </c>
      <c r="B19" s="2" t="s">
        <v>97</v>
      </c>
      <c r="C19" s="2" t="s">
        <v>98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48.86"/>
    <col customWidth="1" min="3" max="3" width="34.43"/>
    <col customWidth="1" min="4" max="4" width="8.86"/>
    <col customWidth="1" min="5" max="5" width="72.86"/>
    <col customWidth="1" min="6" max="26" width="8.86"/>
  </cols>
  <sheetData>
    <row r="1">
      <c r="A1" s="1" t="s">
        <v>0</v>
      </c>
      <c r="B1" s="1" t="s">
        <v>2</v>
      </c>
      <c r="C1" s="1" t="s">
        <v>99</v>
      </c>
      <c r="D1" s="1" t="s">
        <v>100</v>
      </c>
      <c r="E1" s="5" t="s">
        <v>101</v>
      </c>
    </row>
    <row r="2">
      <c r="A2" s="2" t="s">
        <v>102</v>
      </c>
      <c r="B2" s="4" t="s">
        <v>103</v>
      </c>
      <c r="C2" s="2" t="s">
        <v>104</v>
      </c>
      <c r="D2" s="2">
        <v>0.0</v>
      </c>
      <c r="E2" s="2" t="s">
        <v>105</v>
      </c>
    </row>
    <row r="3">
      <c r="A3" s="2" t="s">
        <v>106</v>
      </c>
      <c r="B3" s="4" t="s">
        <v>107</v>
      </c>
      <c r="C3" s="2" t="s">
        <v>108</v>
      </c>
      <c r="D3" s="2">
        <v>0.0</v>
      </c>
      <c r="E3" s="2" t="s">
        <v>109</v>
      </c>
    </row>
    <row r="4">
      <c r="A4" s="2" t="s">
        <v>110</v>
      </c>
      <c r="B4" s="2" t="s">
        <v>111</v>
      </c>
      <c r="C4" s="2" t="s">
        <v>112</v>
      </c>
      <c r="D4" s="2">
        <v>0.0</v>
      </c>
      <c r="E4" s="2" t="s">
        <v>113</v>
      </c>
    </row>
    <row r="5">
      <c r="A5" s="2" t="s">
        <v>114</v>
      </c>
      <c r="B5" s="2" t="s">
        <v>115</v>
      </c>
      <c r="C5" s="2" t="s">
        <v>112</v>
      </c>
      <c r="D5" s="2">
        <v>0.0</v>
      </c>
      <c r="E5" s="2" t="s">
        <v>116</v>
      </c>
    </row>
    <row r="6">
      <c r="A6" s="2" t="s">
        <v>117</v>
      </c>
      <c r="B6" s="2" t="s">
        <v>118</v>
      </c>
      <c r="C6" s="2" t="s">
        <v>112</v>
      </c>
      <c r="D6" s="2">
        <v>0.0</v>
      </c>
      <c r="E6" s="2" t="s">
        <v>119</v>
      </c>
    </row>
    <row r="7">
      <c r="A7" s="2" t="s">
        <v>120</v>
      </c>
      <c r="B7" s="2" t="s">
        <v>121</v>
      </c>
      <c r="C7" s="2" t="s">
        <v>108</v>
      </c>
      <c r="D7" s="2">
        <v>0.0</v>
      </c>
      <c r="E7" s="2" t="s">
        <v>122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41.86"/>
    <col customWidth="1" min="3" max="3" width="64.29"/>
    <col customWidth="1" min="4" max="26" width="8.86"/>
  </cols>
  <sheetData>
    <row r="1">
      <c r="A1" s="1" t="s">
        <v>0</v>
      </c>
      <c r="B1" s="1" t="s">
        <v>123</v>
      </c>
      <c r="C1" s="1" t="s">
        <v>2</v>
      </c>
    </row>
    <row r="2">
      <c r="A2" s="2" t="s">
        <v>124</v>
      </c>
      <c r="B2" s="2" t="s">
        <v>125</v>
      </c>
      <c r="C2" s="4" t="s">
        <v>126</v>
      </c>
    </row>
    <row r="3">
      <c r="A3" s="2" t="s">
        <v>127</v>
      </c>
      <c r="B3" s="2" t="s">
        <v>128</v>
      </c>
      <c r="C3" s="4" t="s">
        <v>129</v>
      </c>
    </row>
    <row r="4">
      <c r="A4" s="2" t="s">
        <v>130</v>
      </c>
      <c r="B4" s="2" t="s">
        <v>131</v>
      </c>
      <c r="C4" s="4" t="s">
        <v>132</v>
      </c>
    </row>
    <row r="5">
      <c r="A5" s="2" t="s">
        <v>133</v>
      </c>
      <c r="B5" s="2" t="s">
        <v>134</v>
      </c>
      <c r="C5" s="4" t="s">
        <v>135</v>
      </c>
    </row>
    <row r="6">
      <c r="A6" s="2" t="s">
        <v>136</v>
      </c>
      <c r="B6" s="2" t="s">
        <v>137</v>
      </c>
      <c r="C6" s="4" t="s">
        <v>138</v>
      </c>
    </row>
    <row r="7">
      <c r="A7" s="2" t="s">
        <v>139</v>
      </c>
      <c r="B7" s="2" t="s">
        <v>140</v>
      </c>
      <c r="C7" s="4" t="s">
        <v>141</v>
      </c>
    </row>
    <row r="8">
      <c r="A8" s="2" t="s">
        <v>142</v>
      </c>
      <c r="B8" s="2" t="s">
        <v>143</v>
      </c>
      <c r="C8" s="4" t="s">
        <v>144</v>
      </c>
    </row>
    <row r="9">
      <c r="A9" s="2" t="s">
        <v>145</v>
      </c>
      <c r="B9" s="2" t="s">
        <v>146</v>
      </c>
      <c r="C9" s="4" t="s">
        <v>147</v>
      </c>
    </row>
    <row r="10">
      <c r="A10" s="2" t="s">
        <v>148</v>
      </c>
      <c r="B10" s="2" t="s">
        <v>149</v>
      </c>
      <c r="C10" s="4" t="s">
        <v>150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86"/>
    <col customWidth="1" min="3" max="3" width="108.29"/>
    <col customWidth="1" min="4" max="26" width="8.86"/>
  </cols>
  <sheetData>
    <row r="1">
      <c r="B1" s="1" t="s">
        <v>0</v>
      </c>
      <c r="C1" s="1" t="s">
        <v>2</v>
      </c>
    </row>
    <row r="2">
      <c r="A2" s="2" t="s">
        <v>45</v>
      </c>
      <c r="B2" s="6" t="s">
        <v>151</v>
      </c>
      <c r="C2" s="7" t="s">
        <v>152</v>
      </c>
    </row>
    <row r="3">
      <c r="A3" s="2" t="s">
        <v>45</v>
      </c>
      <c r="B3" s="6" t="s">
        <v>153</v>
      </c>
      <c r="C3" s="7" t="s">
        <v>154</v>
      </c>
    </row>
    <row r="4">
      <c r="A4" s="2" t="s">
        <v>45</v>
      </c>
      <c r="B4" s="6" t="s">
        <v>155</v>
      </c>
      <c r="C4" s="7" t="s">
        <v>156</v>
      </c>
    </row>
    <row r="5">
      <c r="A5" s="2" t="s">
        <v>45</v>
      </c>
      <c r="B5" s="6" t="s">
        <v>157</v>
      </c>
      <c r="C5" s="7" t="s">
        <v>158</v>
      </c>
    </row>
    <row r="6">
      <c r="A6" s="2" t="s">
        <v>45</v>
      </c>
      <c r="B6" s="6" t="s">
        <v>159</v>
      </c>
      <c r="C6" s="7" t="s">
        <v>160</v>
      </c>
    </row>
    <row r="7">
      <c r="A7" s="2" t="s">
        <v>45</v>
      </c>
      <c r="B7" s="6" t="s">
        <v>161</v>
      </c>
      <c r="C7" s="7" t="s">
        <v>162</v>
      </c>
    </row>
    <row r="8" ht="87.0" customHeight="1">
      <c r="A8" s="2" t="s">
        <v>48</v>
      </c>
      <c r="B8" s="6" t="s">
        <v>163</v>
      </c>
      <c r="C8" s="7" t="s">
        <v>164</v>
      </c>
    </row>
    <row r="9">
      <c r="A9" s="2" t="s">
        <v>48</v>
      </c>
      <c r="B9" s="6" t="s">
        <v>165</v>
      </c>
      <c r="C9" s="7" t="s">
        <v>166</v>
      </c>
    </row>
    <row r="10">
      <c r="A10" s="2" t="s">
        <v>48</v>
      </c>
      <c r="B10" s="6" t="s">
        <v>167</v>
      </c>
      <c r="C10" s="7" t="s">
        <v>168</v>
      </c>
    </row>
    <row r="11">
      <c r="A11" s="2" t="s">
        <v>51</v>
      </c>
      <c r="B11" s="6" t="s">
        <v>169</v>
      </c>
      <c r="C11" s="7" t="s">
        <v>170</v>
      </c>
    </row>
    <row r="12">
      <c r="A12" s="2" t="s">
        <v>51</v>
      </c>
      <c r="B12" s="6" t="s">
        <v>171</v>
      </c>
      <c r="C12" s="7" t="s">
        <v>172</v>
      </c>
    </row>
    <row r="13">
      <c r="A13" s="2" t="s">
        <v>51</v>
      </c>
      <c r="B13" s="6" t="s">
        <v>173</v>
      </c>
      <c r="C13" s="7" t="s">
        <v>174</v>
      </c>
    </row>
    <row r="14">
      <c r="A14" s="2" t="s">
        <v>51</v>
      </c>
      <c r="B14" s="6" t="s">
        <v>175</v>
      </c>
      <c r="C14" s="7" t="s">
        <v>176</v>
      </c>
    </row>
    <row r="15">
      <c r="A15" s="2" t="s">
        <v>51</v>
      </c>
      <c r="B15" s="6" t="s">
        <v>177</v>
      </c>
      <c r="C15" s="7" t="s">
        <v>178</v>
      </c>
    </row>
    <row r="16">
      <c r="A16" s="2" t="s">
        <v>51</v>
      </c>
      <c r="B16" s="6" t="s">
        <v>179</v>
      </c>
      <c r="C16" s="7" t="s">
        <v>180</v>
      </c>
    </row>
    <row r="17">
      <c r="A17" s="2" t="s">
        <v>51</v>
      </c>
      <c r="B17" s="6" t="s">
        <v>181</v>
      </c>
      <c r="C17" s="7" t="s">
        <v>182</v>
      </c>
    </row>
    <row r="18">
      <c r="A18" s="2" t="s">
        <v>51</v>
      </c>
      <c r="B18" s="6" t="s">
        <v>183</v>
      </c>
      <c r="C18" s="7" t="s">
        <v>184</v>
      </c>
    </row>
    <row r="19">
      <c r="A19" s="2" t="s">
        <v>51</v>
      </c>
      <c r="B19" s="6" t="s">
        <v>185</v>
      </c>
      <c r="C19" s="7" t="s">
        <v>186</v>
      </c>
    </row>
    <row r="20">
      <c r="A20" s="2" t="s">
        <v>51</v>
      </c>
      <c r="B20" s="6" t="s">
        <v>187</v>
      </c>
      <c r="C20" s="7" t="s">
        <v>188</v>
      </c>
    </row>
    <row r="21" ht="15.75" customHeight="1">
      <c r="A21" s="2" t="s">
        <v>51</v>
      </c>
      <c r="B21" s="6" t="s">
        <v>189</v>
      </c>
      <c r="C21" s="7" t="s">
        <v>190</v>
      </c>
    </row>
    <row r="22" ht="15.75" customHeight="1">
      <c r="A22" s="2" t="s">
        <v>54</v>
      </c>
      <c r="B22" s="6" t="s">
        <v>191</v>
      </c>
      <c r="C22" s="7" t="s">
        <v>192</v>
      </c>
    </row>
    <row r="23" ht="15.75" customHeight="1">
      <c r="A23" s="2" t="s">
        <v>54</v>
      </c>
      <c r="B23" s="6" t="s">
        <v>193</v>
      </c>
      <c r="C23" s="7" t="s">
        <v>194</v>
      </c>
    </row>
    <row r="24" ht="15.75" customHeight="1">
      <c r="A24" s="2" t="s">
        <v>54</v>
      </c>
      <c r="B24" s="6" t="s">
        <v>195</v>
      </c>
      <c r="C24" s="7" t="s">
        <v>196</v>
      </c>
    </row>
    <row r="25" ht="15.75" customHeight="1">
      <c r="A25" s="2" t="s">
        <v>54</v>
      </c>
      <c r="B25" s="6" t="s">
        <v>197</v>
      </c>
      <c r="C25" s="7" t="s">
        <v>198</v>
      </c>
    </row>
    <row r="26" ht="15.75" customHeight="1">
      <c r="A26" s="2" t="s">
        <v>54</v>
      </c>
      <c r="B26" s="6" t="s">
        <v>199</v>
      </c>
      <c r="C26" s="7" t="s">
        <v>200</v>
      </c>
    </row>
    <row r="27" ht="15.75" customHeight="1">
      <c r="A27" s="2" t="s">
        <v>57</v>
      </c>
      <c r="B27" s="6" t="s">
        <v>201</v>
      </c>
      <c r="C27" s="7" t="s">
        <v>202</v>
      </c>
    </row>
    <row r="28" ht="15.75" customHeight="1">
      <c r="A28" s="2" t="s">
        <v>57</v>
      </c>
      <c r="B28" s="6" t="s">
        <v>203</v>
      </c>
      <c r="C28" s="7" t="s">
        <v>204</v>
      </c>
    </row>
    <row r="29" ht="15.75" customHeight="1">
      <c r="A29" s="2" t="s">
        <v>57</v>
      </c>
      <c r="B29" s="6" t="s">
        <v>205</v>
      </c>
      <c r="C29" s="8" t="s">
        <v>206</v>
      </c>
    </row>
    <row r="30" ht="15.75" customHeight="1">
      <c r="A30" s="2" t="s">
        <v>57</v>
      </c>
      <c r="B30" s="6" t="s">
        <v>207</v>
      </c>
      <c r="C30" s="7" t="s">
        <v>208</v>
      </c>
    </row>
    <row r="31" ht="15.75" customHeight="1">
      <c r="A31" s="2" t="s">
        <v>57</v>
      </c>
      <c r="B31" s="6" t="s">
        <v>209</v>
      </c>
      <c r="C31" s="7" t="s">
        <v>210</v>
      </c>
    </row>
    <row r="32" ht="15.75" customHeight="1">
      <c r="A32" s="2" t="s">
        <v>57</v>
      </c>
      <c r="B32" s="6" t="s">
        <v>211</v>
      </c>
      <c r="C32" s="8" t="s">
        <v>212</v>
      </c>
    </row>
    <row r="33" ht="15.75" customHeight="1">
      <c r="A33" s="2" t="s">
        <v>57</v>
      </c>
      <c r="B33" s="6" t="s">
        <v>213</v>
      </c>
      <c r="C33" s="7" t="s">
        <v>214</v>
      </c>
    </row>
    <row r="34" ht="15.75" customHeight="1">
      <c r="A34" s="2" t="s">
        <v>57</v>
      </c>
      <c r="B34" s="6" t="s">
        <v>215</v>
      </c>
      <c r="C34" s="7" t="s">
        <v>216</v>
      </c>
    </row>
    <row r="35" ht="15.75" customHeight="1">
      <c r="A35" s="2" t="s">
        <v>57</v>
      </c>
      <c r="B35" s="6" t="s">
        <v>217</v>
      </c>
      <c r="C35" s="7" t="s">
        <v>218</v>
      </c>
    </row>
    <row r="36" ht="15.75" customHeight="1">
      <c r="A36" s="2" t="s">
        <v>57</v>
      </c>
      <c r="B36" s="6" t="s">
        <v>219</v>
      </c>
      <c r="C36" s="2" t="s">
        <v>220</v>
      </c>
    </row>
    <row r="37" ht="15.75" customHeight="1">
      <c r="A37" s="2" t="s">
        <v>57</v>
      </c>
      <c r="B37" s="6" t="s">
        <v>221</v>
      </c>
      <c r="C37" s="8" t="s">
        <v>222</v>
      </c>
    </row>
    <row r="38" ht="15.75" customHeight="1">
      <c r="A38" s="2" t="s">
        <v>57</v>
      </c>
      <c r="B38" s="6" t="s">
        <v>223</v>
      </c>
      <c r="C38" s="2" t="s">
        <v>224</v>
      </c>
    </row>
    <row r="39" ht="15.75" customHeight="1">
      <c r="A39" s="2" t="s">
        <v>57</v>
      </c>
      <c r="B39" s="6" t="s">
        <v>225</v>
      </c>
      <c r="C39" s="8" t="s">
        <v>226</v>
      </c>
    </row>
    <row r="40" ht="15.75" customHeight="1">
      <c r="A40" s="2" t="s">
        <v>57</v>
      </c>
      <c r="B40" s="6" t="s">
        <v>227</v>
      </c>
      <c r="C40" s="4" t="s">
        <v>228</v>
      </c>
    </row>
    <row r="41" ht="15.75" customHeight="1">
      <c r="A41" s="2" t="s">
        <v>57</v>
      </c>
      <c r="B41" s="6" t="s">
        <v>229</v>
      </c>
      <c r="C41" s="8" t="s">
        <v>230</v>
      </c>
    </row>
    <row r="42" ht="15.75" customHeight="1">
      <c r="A42" s="2" t="s">
        <v>57</v>
      </c>
      <c r="B42" s="6" t="s">
        <v>231</v>
      </c>
      <c r="C42" s="8" t="s">
        <v>232</v>
      </c>
    </row>
    <row r="43" ht="15.75" customHeight="1">
      <c r="A43" s="2" t="s">
        <v>57</v>
      </c>
      <c r="B43" s="6" t="s">
        <v>233</v>
      </c>
      <c r="C43" s="8" t="s">
        <v>234</v>
      </c>
    </row>
    <row r="44" ht="15.75" customHeight="1">
      <c r="A44" s="2" t="s">
        <v>57</v>
      </c>
      <c r="B44" s="6" t="s">
        <v>235</v>
      </c>
      <c r="C44" s="8" t="s">
        <v>236</v>
      </c>
    </row>
    <row r="45" ht="15.75" customHeight="1">
      <c r="A45" s="2" t="s">
        <v>57</v>
      </c>
      <c r="B45" s="6" t="s">
        <v>237</v>
      </c>
      <c r="C45" s="8" t="s">
        <v>238</v>
      </c>
    </row>
    <row r="46" ht="15.75" customHeight="1">
      <c r="A46" s="2" t="s">
        <v>57</v>
      </c>
      <c r="B46" s="6" t="s">
        <v>239</v>
      </c>
      <c r="C46" s="8" t="s">
        <v>240</v>
      </c>
    </row>
    <row r="47" ht="15.75" customHeight="1">
      <c r="A47" s="2" t="s">
        <v>57</v>
      </c>
      <c r="B47" s="6" t="s">
        <v>241</v>
      </c>
      <c r="C47" s="8" t="s">
        <v>242</v>
      </c>
    </row>
    <row r="48" ht="15.75" customHeight="1">
      <c r="A48" s="2" t="s">
        <v>60</v>
      </c>
      <c r="B48" s="6" t="s">
        <v>243</v>
      </c>
      <c r="C48" s="4" t="s">
        <v>244</v>
      </c>
    </row>
    <row r="49" ht="15.75" customHeight="1">
      <c r="A49" s="2" t="s">
        <v>60</v>
      </c>
      <c r="B49" s="6" t="s">
        <v>245</v>
      </c>
      <c r="C49" s="4" t="s">
        <v>246</v>
      </c>
    </row>
    <row r="50" ht="15.75" customHeight="1">
      <c r="A50" s="2" t="s">
        <v>60</v>
      </c>
      <c r="B50" s="6" t="s">
        <v>247</v>
      </c>
      <c r="C50" s="8" t="s">
        <v>248</v>
      </c>
    </row>
    <row r="51" ht="15.75" customHeight="1">
      <c r="A51" s="2" t="s">
        <v>60</v>
      </c>
      <c r="B51" s="6" t="s">
        <v>249</v>
      </c>
      <c r="C51" s="8" t="s">
        <v>250</v>
      </c>
    </row>
    <row r="52" ht="15.75" customHeight="1">
      <c r="A52" s="2" t="s">
        <v>60</v>
      </c>
      <c r="B52" s="6" t="s">
        <v>251</v>
      </c>
      <c r="C52" s="8" t="s">
        <v>252</v>
      </c>
    </row>
    <row r="53" ht="15.75" customHeight="1">
      <c r="A53" s="2" t="s">
        <v>60</v>
      </c>
      <c r="B53" s="6" t="s">
        <v>253</v>
      </c>
      <c r="C53" s="8" t="s">
        <v>254</v>
      </c>
    </row>
    <row r="54" ht="15.75" customHeight="1">
      <c r="A54" s="2" t="s">
        <v>60</v>
      </c>
      <c r="B54" s="6" t="s">
        <v>255</v>
      </c>
      <c r="C54" s="8" t="s">
        <v>256</v>
      </c>
    </row>
    <row r="55" ht="15.75" customHeight="1">
      <c r="A55" s="2" t="s">
        <v>60</v>
      </c>
      <c r="B55" s="6" t="s">
        <v>257</v>
      </c>
      <c r="C55" s="8" t="s">
        <v>258</v>
      </c>
    </row>
    <row r="56" ht="15.75" customHeight="1">
      <c r="A56" s="2" t="s">
        <v>60</v>
      </c>
      <c r="B56" s="6" t="s">
        <v>259</v>
      </c>
      <c r="C56" s="8" t="s">
        <v>260</v>
      </c>
    </row>
    <row r="57" ht="15.75" customHeight="1">
      <c r="A57" s="2" t="s">
        <v>60</v>
      </c>
      <c r="B57" s="6" t="s">
        <v>261</v>
      </c>
      <c r="C57" s="8" t="s">
        <v>262</v>
      </c>
    </row>
    <row r="58" ht="15.75" customHeight="1">
      <c r="A58" s="2" t="s">
        <v>60</v>
      </c>
      <c r="B58" s="6" t="s">
        <v>263</v>
      </c>
      <c r="C58" s="8" t="s">
        <v>264</v>
      </c>
    </row>
    <row r="59" ht="15.75" customHeight="1">
      <c r="A59" s="2" t="s">
        <v>60</v>
      </c>
      <c r="B59" s="6" t="s">
        <v>265</v>
      </c>
      <c r="C59" s="8" t="s">
        <v>266</v>
      </c>
    </row>
    <row r="60" ht="15.75" customHeight="1">
      <c r="A60" s="2" t="s">
        <v>60</v>
      </c>
      <c r="B60" s="6" t="s">
        <v>267</v>
      </c>
      <c r="C60" s="8" t="s">
        <v>266</v>
      </c>
    </row>
    <row r="61" ht="15.75" customHeight="1">
      <c r="A61" s="2" t="s">
        <v>60</v>
      </c>
      <c r="B61" s="6" t="s">
        <v>268</v>
      </c>
      <c r="C61" s="8" t="s">
        <v>269</v>
      </c>
    </row>
    <row r="62" ht="15.75" customHeight="1">
      <c r="A62" s="2" t="s">
        <v>60</v>
      </c>
      <c r="B62" s="6" t="s">
        <v>270</v>
      </c>
      <c r="C62" s="8" t="s">
        <v>271</v>
      </c>
    </row>
    <row r="63" ht="15.75" customHeight="1">
      <c r="A63" s="2" t="s">
        <v>60</v>
      </c>
      <c r="B63" s="6" t="s">
        <v>272</v>
      </c>
      <c r="C63" s="8" t="s">
        <v>273</v>
      </c>
    </row>
    <row r="64" ht="15.75" customHeight="1">
      <c r="A64" s="2" t="s">
        <v>60</v>
      </c>
      <c r="B64" s="6" t="s">
        <v>274</v>
      </c>
      <c r="C64" s="8" t="s">
        <v>275</v>
      </c>
    </row>
    <row r="65" ht="15.75" customHeight="1">
      <c r="A65" s="2" t="s">
        <v>60</v>
      </c>
      <c r="B65" s="6" t="s">
        <v>276</v>
      </c>
      <c r="C65" s="9" t="s">
        <v>277</v>
      </c>
    </row>
    <row r="66" ht="15.75" customHeight="1">
      <c r="A66" s="2" t="s">
        <v>60</v>
      </c>
      <c r="B66" s="6" t="s">
        <v>278</v>
      </c>
      <c r="C66" s="9" t="s">
        <v>279</v>
      </c>
    </row>
    <row r="67" ht="15.75" customHeight="1">
      <c r="A67" s="2" t="s">
        <v>63</v>
      </c>
      <c r="B67" s="6" t="s">
        <v>219</v>
      </c>
    </row>
    <row r="68" ht="15.75" customHeight="1">
      <c r="A68" s="2" t="s">
        <v>66</v>
      </c>
      <c r="B68" s="6" t="s">
        <v>280</v>
      </c>
      <c r="C68" s="8" t="s">
        <v>281</v>
      </c>
    </row>
    <row r="69" ht="15.75" customHeight="1">
      <c r="A69" s="2" t="s">
        <v>66</v>
      </c>
      <c r="B69" s="6" t="s">
        <v>282</v>
      </c>
      <c r="C69" s="2" t="s">
        <v>283</v>
      </c>
    </row>
    <row r="70" ht="15.75" customHeight="1">
      <c r="A70" s="2" t="s">
        <v>66</v>
      </c>
      <c r="B70" s="6" t="s">
        <v>284</v>
      </c>
      <c r="C70" s="2" t="s">
        <v>285</v>
      </c>
    </row>
    <row r="71" ht="15.75" customHeight="1">
      <c r="A71" s="2" t="s">
        <v>66</v>
      </c>
      <c r="B71" s="6" t="s">
        <v>286</v>
      </c>
      <c r="C71" s="2" t="s">
        <v>287</v>
      </c>
    </row>
    <row r="72" ht="15.75" customHeight="1">
      <c r="A72" s="2" t="s">
        <v>66</v>
      </c>
      <c r="B72" s="6" t="s">
        <v>288</v>
      </c>
      <c r="C72" s="8" t="s">
        <v>289</v>
      </c>
    </row>
    <row r="73" ht="15.75" customHeight="1">
      <c r="A73" s="2" t="s">
        <v>72</v>
      </c>
      <c r="B73" s="6" t="s">
        <v>290</v>
      </c>
      <c r="C73" s="4" t="s">
        <v>291</v>
      </c>
    </row>
    <row r="74" ht="15.75" customHeight="1">
      <c r="A74" s="2" t="s">
        <v>72</v>
      </c>
      <c r="B74" s="6" t="s">
        <v>292</v>
      </c>
      <c r="C74" s="4" t="s">
        <v>293</v>
      </c>
    </row>
    <row r="75" ht="15.75" customHeight="1">
      <c r="A75" s="2" t="s">
        <v>75</v>
      </c>
      <c r="B75" s="6" t="s">
        <v>294</v>
      </c>
      <c r="C75" s="4" t="s">
        <v>295</v>
      </c>
    </row>
    <row r="76" ht="15.75" customHeight="1">
      <c r="A76" s="2" t="s">
        <v>75</v>
      </c>
      <c r="B76" s="6" t="s">
        <v>296</v>
      </c>
      <c r="C76" s="4" t="s">
        <v>297</v>
      </c>
    </row>
    <row r="77" ht="15.75" customHeight="1">
      <c r="A77" s="2" t="s">
        <v>75</v>
      </c>
      <c r="B77" s="6" t="s">
        <v>298</v>
      </c>
      <c r="C77" s="4" t="s">
        <v>299</v>
      </c>
    </row>
    <row r="78" ht="15.75" customHeight="1">
      <c r="A78" s="2" t="s">
        <v>78</v>
      </c>
      <c r="B78" s="6" t="s">
        <v>300</v>
      </c>
      <c r="C78" s="4" t="s">
        <v>301</v>
      </c>
    </row>
    <row r="79" ht="15.75" customHeight="1">
      <c r="A79" s="2" t="s">
        <v>78</v>
      </c>
      <c r="B79" s="6" t="s">
        <v>302</v>
      </c>
      <c r="C79" s="4" t="s">
        <v>303</v>
      </c>
    </row>
    <row r="80" ht="15.75" customHeight="1">
      <c r="A80" s="2" t="s">
        <v>78</v>
      </c>
      <c r="B80" s="6" t="s">
        <v>304</v>
      </c>
      <c r="C80" s="4" t="s">
        <v>305</v>
      </c>
    </row>
    <row r="81" ht="15.75" customHeight="1">
      <c r="A81" s="2" t="s">
        <v>78</v>
      </c>
      <c r="B81" s="6" t="s">
        <v>306</v>
      </c>
      <c r="C81" s="4" t="s">
        <v>307</v>
      </c>
    </row>
    <row r="82" ht="15.75" customHeight="1">
      <c r="A82" s="2" t="s">
        <v>78</v>
      </c>
      <c r="B82" s="6" t="s">
        <v>308</v>
      </c>
      <c r="C82" s="4" t="s">
        <v>309</v>
      </c>
    </row>
    <row r="83" ht="15.75" customHeight="1">
      <c r="A83" s="2" t="s">
        <v>78</v>
      </c>
      <c r="B83" s="6" t="s">
        <v>310</v>
      </c>
      <c r="C83" s="4" t="s">
        <v>311</v>
      </c>
    </row>
    <row r="84" ht="15.75" customHeight="1">
      <c r="A84" s="2" t="s">
        <v>78</v>
      </c>
      <c r="B84" s="6" t="s">
        <v>312</v>
      </c>
      <c r="C84" s="4" t="s">
        <v>313</v>
      </c>
    </row>
    <row r="85" ht="15.75" customHeight="1">
      <c r="A85" s="2" t="s">
        <v>78</v>
      </c>
      <c r="B85" s="6" t="s">
        <v>314</v>
      </c>
      <c r="C85" s="4" t="s">
        <v>315</v>
      </c>
    </row>
    <row r="86" ht="15.75" customHeight="1">
      <c r="A86" s="2" t="s">
        <v>78</v>
      </c>
      <c r="B86" s="6" t="s">
        <v>316</v>
      </c>
      <c r="C86" s="4" t="s">
        <v>317</v>
      </c>
    </row>
    <row r="87" ht="15.75" customHeight="1">
      <c r="A87" s="2" t="s">
        <v>78</v>
      </c>
      <c r="B87" s="6" t="s">
        <v>318</v>
      </c>
      <c r="C87" s="4" t="s">
        <v>319</v>
      </c>
    </row>
    <row r="88" ht="15.75" customHeight="1">
      <c r="A88" s="2" t="s">
        <v>78</v>
      </c>
      <c r="B88" s="6" t="s">
        <v>320</v>
      </c>
      <c r="C88" s="4" t="s">
        <v>321</v>
      </c>
    </row>
    <row r="89" ht="15.75" customHeight="1">
      <c r="A89" s="2" t="s">
        <v>78</v>
      </c>
      <c r="B89" s="6" t="s">
        <v>322</v>
      </c>
      <c r="C89" s="4" t="s">
        <v>323</v>
      </c>
    </row>
    <row r="90" ht="15.75" customHeight="1">
      <c r="A90" s="2" t="s">
        <v>78</v>
      </c>
      <c r="B90" s="6" t="s">
        <v>324</v>
      </c>
      <c r="C90" s="4" t="s">
        <v>325</v>
      </c>
    </row>
    <row r="91" ht="15.75" customHeight="1">
      <c r="A91" s="2" t="s">
        <v>78</v>
      </c>
      <c r="B91" s="6" t="s">
        <v>326</v>
      </c>
      <c r="C91" s="4" t="s">
        <v>327</v>
      </c>
    </row>
    <row r="92" ht="15.75" customHeight="1">
      <c r="A92" s="2" t="s">
        <v>78</v>
      </c>
      <c r="B92" s="6" t="s">
        <v>328</v>
      </c>
      <c r="C92" s="4" t="s">
        <v>329</v>
      </c>
    </row>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29"/>
    <col customWidth="1" min="2" max="2" width="17.71"/>
    <col customWidth="1" min="3" max="3" width="53.43"/>
    <col customWidth="1" min="4" max="26" width="8.86"/>
  </cols>
  <sheetData>
    <row r="1">
      <c r="A1" s="1" t="s">
        <v>0</v>
      </c>
      <c r="B1" s="1" t="s">
        <v>123</v>
      </c>
      <c r="C1" s="1" t="s">
        <v>2</v>
      </c>
    </row>
    <row r="2">
      <c r="A2" s="2" t="s">
        <v>330</v>
      </c>
      <c r="B2" s="2" t="s">
        <v>331</v>
      </c>
      <c r="C2" s="3" t="s">
        <v>332</v>
      </c>
    </row>
    <row r="3">
      <c r="A3" s="2" t="s">
        <v>333</v>
      </c>
      <c r="B3" s="2" t="s">
        <v>331</v>
      </c>
      <c r="C3" s="3" t="s">
        <v>334</v>
      </c>
    </row>
    <row r="4">
      <c r="A4" s="2" t="s">
        <v>335</v>
      </c>
      <c r="B4" s="2" t="s">
        <v>331</v>
      </c>
      <c r="C4" s="3" t="s">
        <v>336</v>
      </c>
    </row>
    <row r="5">
      <c r="A5" s="2" t="s">
        <v>337</v>
      </c>
      <c r="B5" s="2" t="s">
        <v>331</v>
      </c>
      <c r="C5" s="3" t="s">
        <v>338</v>
      </c>
    </row>
    <row r="6">
      <c r="A6" s="2" t="s">
        <v>339</v>
      </c>
      <c r="B6" s="2" t="s">
        <v>340</v>
      </c>
      <c r="C6" s="3" t="s">
        <v>341</v>
      </c>
    </row>
    <row r="7">
      <c r="A7" s="2" t="s">
        <v>342</v>
      </c>
      <c r="B7" s="2" t="s">
        <v>140</v>
      </c>
      <c r="C7" s="3" t="s">
        <v>343</v>
      </c>
    </row>
    <row r="8">
      <c r="A8" s="2" t="s">
        <v>344</v>
      </c>
      <c r="B8" s="2" t="s">
        <v>140</v>
      </c>
      <c r="C8" s="3" t="s">
        <v>345</v>
      </c>
    </row>
    <row r="9">
      <c r="A9" s="2" t="s">
        <v>346</v>
      </c>
      <c r="B9" s="2" t="s">
        <v>140</v>
      </c>
      <c r="C9" s="3" t="s">
        <v>347</v>
      </c>
    </row>
    <row r="10">
      <c r="C10" s="3"/>
    </row>
    <row r="11">
      <c r="C11" s="3"/>
    </row>
    <row r="12">
      <c r="C12" s="3"/>
    </row>
    <row r="13">
      <c r="C13" s="3"/>
    </row>
    <row r="14">
      <c r="C14" s="3"/>
    </row>
    <row r="15">
      <c r="C15" s="3"/>
    </row>
    <row r="16">
      <c r="C16" s="3"/>
    </row>
    <row r="17">
      <c r="C17" s="3"/>
    </row>
    <row r="18">
      <c r="C18" s="3"/>
    </row>
    <row r="19">
      <c r="C19" s="3"/>
    </row>
    <row r="20">
      <c r="C20" s="3"/>
    </row>
    <row r="21" ht="15.75" customHeight="1">
      <c r="C21" s="3"/>
    </row>
    <row r="22" ht="15.75" customHeight="1">
      <c r="C22" s="3"/>
    </row>
    <row r="23" ht="15.75" customHeight="1">
      <c r="C23" s="3"/>
    </row>
    <row r="24" ht="15.75" customHeight="1">
      <c r="C24" s="3"/>
    </row>
    <row r="25" ht="15.75" customHeight="1">
      <c r="C25" s="3"/>
    </row>
    <row r="26" ht="15.75" customHeight="1">
      <c r="C26" s="3"/>
    </row>
    <row r="27" ht="15.75" customHeight="1">
      <c r="C27" s="3"/>
    </row>
    <row r="28" ht="15.75" customHeight="1">
      <c r="C28" s="3"/>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55.14"/>
    <col customWidth="1" min="3" max="3" width="24.71"/>
    <col customWidth="1" min="4" max="4" width="46.0"/>
    <col customWidth="1" min="5" max="5" width="46.14"/>
    <col customWidth="1" min="6" max="6" width="33.86"/>
    <col customWidth="1" min="7" max="7" width="36.29"/>
    <col customWidth="1" min="8" max="8" width="21.14"/>
    <col customWidth="1" min="9" max="26" width="8.86"/>
  </cols>
  <sheetData>
    <row r="1">
      <c r="A1" s="1" t="s">
        <v>0</v>
      </c>
      <c r="B1" s="1" t="s">
        <v>1</v>
      </c>
      <c r="C1" s="1" t="s">
        <v>348</v>
      </c>
      <c r="D1" s="1" t="s">
        <v>349</v>
      </c>
      <c r="E1" s="1" t="s">
        <v>350</v>
      </c>
      <c r="F1" s="1" t="s">
        <v>351</v>
      </c>
      <c r="G1" s="1" t="s">
        <v>352</v>
      </c>
      <c r="H1" s="1" t="s">
        <v>353</v>
      </c>
    </row>
    <row r="2">
      <c r="A2" s="2" t="s">
        <v>354</v>
      </c>
      <c r="B2" s="2" t="s">
        <v>355</v>
      </c>
      <c r="C2" s="2" t="s">
        <v>356</v>
      </c>
      <c r="D2" s="4" t="s">
        <v>357</v>
      </c>
      <c r="E2" s="4" t="s">
        <v>358</v>
      </c>
      <c r="F2" s="2" t="s">
        <v>359</v>
      </c>
      <c r="G2" s="4" t="s">
        <v>360</v>
      </c>
      <c r="H2" s="4" t="s">
        <v>361</v>
      </c>
    </row>
    <row r="3">
      <c r="A3" s="2" t="s">
        <v>362</v>
      </c>
      <c r="B3" s="2" t="s">
        <v>363</v>
      </c>
      <c r="C3" s="2" t="s">
        <v>364</v>
      </c>
      <c r="D3" s="2" t="s">
        <v>365</v>
      </c>
      <c r="E3" s="4" t="s">
        <v>366</v>
      </c>
      <c r="F3" s="2" t="s">
        <v>367</v>
      </c>
      <c r="G3" s="2" t="s">
        <v>368</v>
      </c>
      <c r="H3" s="4" t="s">
        <v>369</v>
      </c>
      <c r="L3" s="4"/>
      <c r="M3" s="4"/>
      <c r="O3" s="4"/>
      <c r="P3" s="4"/>
    </row>
    <row r="4">
      <c r="A4" s="2" t="s">
        <v>370</v>
      </c>
      <c r="B4" s="2" t="s">
        <v>371</v>
      </c>
      <c r="C4" s="2" t="s">
        <v>372</v>
      </c>
      <c r="D4" s="4" t="s">
        <v>373</v>
      </c>
      <c r="E4" s="4" t="s">
        <v>374</v>
      </c>
      <c r="F4" s="4" t="s">
        <v>375</v>
      </c>
      <c r="G4" s="2" t="s">
        <v>376</v>
      </c>
      <c r="H4" s="4" t="s">
        <v>377</v>
      </c>
    </row>
    <row r="5">
      <c r="A5" s="2" t="s">
        <v>378</v>
      </c>
      <c r="B5" s="2" t="s">
        <v>379</v>
      </c>
      <c r="C5" s="2" t="s">
        <v>380</v>
      </c>
      <c r="D5" s="2" t="s">
        <v>381</v>
      </c>
      <c r="E5" s="4" t="s">
        <v>382</v>
      </c>
      <c r="F5" s="2" t="s">
        <v>383</v>
      </c>
      <c r="G5" s="4" t="s">
        <v>384</v>
      </c>
      <c r="H5" s="4" t="s">
        <v>385</v>
      </c>
    </row>
    <row r="6">
      <c r="A6" s="2" t="s">
        <v>386</v>
      </c>
      <c r="B6" s="2" t="s">
        <v>387</v>
      </c>
      <c r="C6" s="2" t="s">
        <v>388</v>
      </c>
      <c r="D6" s="4" t="s">
        <v>389</v>
      </c>
      <c r="E6" s="4" t="s">
        <v>374</v>
      </c>
      <c r="F6" s="2" t="s">
        <v>390</v>
      </c>
      <c r="G6" s="4" t="s">
        <v>391</v>
      </c>
      <c r="H6" s="4" t="s">
        <v>392</v>
      </c>
    </row>
    <row r="7">
      <c r="A7" s="2" t="s">
        <v>393</v>
      </c>
      <c r="B7" s="4" t="s">
        <v>394</v>
      </c>
      <c r="C7" s="4" t="s">
        <v>395</v>
      </c>
      <c r="D7" s="4" t="s">
        <v>396</v>
      </c>
      <c r="E7" s="2" t="s">
        <v>374</v>
      </c>
      <c r="F7" s="4" t="s">
        <v>397</v>
      </c>
      <c r="G7" s="4" t="s">
        <v>398</v>
      </c>
      <c r="H7" s="4" t="s">
        <v>399</v>
      </c>
    </row>
    <row r="8">
      <c r="A8" s="2" t="s">
        <v>400</v>
      </c>
      <c r="B8" s="4" t="s">
        <v>401</v>
      </c>
      <c r="C8" s="4" t="s">
        <v>364</v>
      </c>
      <c r="D8" s="4" t="s">
        <v>402</v>
      </c>
      <c r="E8" s="2" t="s">
        <v>367</v>
      </c>
      <c r="F8" s="4" t="s">
        <v>403</v>
      </c>
      <c r="G8" s="4" t="s">
        <v>404</v>
      </c>
      <c r="H8" s="4" t="s">
        <v>405</v>
      </c>
    </row>
    <row r="9">
      <c r="A9" s="2" t="s">
        <v>406</v>
      </c>
      <c r="B9" s="4" t="s">
        <v>407</v>
      </c>
      <c r="C9" s="4" t="s">
        <v>408</v>
      </c>
      <c r="D9" s="4" t="s">
        <v>409</v>
      </c>
      <c r="E9" s="2" t="s">
        <v>410</v>
      </c>
      <c r="F9" s="4" t="s">
        <v>359</v>
      </c>
      <c r="G9" s="4" t="s">
        <v>411</v>
      </c>
      <c r="H9" s="4" t="s">
        <v>412</v>
      </c>
    </row>
    <row r="10">
      <c r="A10" s="2" t="s">
        <v>413</v>
      </c>
      <c r="B10" s="4" t="s">
        <v>414</v>
      </c>
      <c r="C10" s="4" t="s">
        <v>364</v>
      </c>
      <c r="D10" s="4" t="s">
        <v>415</v>
      </c>
      <c r="E10" s="2" t="s">
        <v>374</v>
      </c>
      <c r="F10" s="4" t="s">
        <v>416</v>
      </c>
      <c r="G10" s="4" t="s">
        <v>417</v>
      </c>
      <c r="H10" s="4" t="s">
        <v>418</v>
      </c>
    </row>
    <row r="11">
      <c r="A11" s="2" t="s">
        <v>419</v>
      </c>
      <c r="B11" s="4" t="s">
        <v>420</v>
      </c>
      <c r="C11" s="4" t="s">
        <v>421</v>
      </c>
      <c r="D11" s="4" t="s">
        <v>422</v>
      </c>
      <c r="E11" s="2" t="s">
        <v>423</v>
      </c>
      <c r="F11" s="4" t="s">
        <v>424</v>
      </c>
      <c r="G11" s="4" t="s">
        <v>425</v>
      </c>
      <c r="H11" s="4" t="s">
        <v>426</v>
      </c>
    </row>
    <row r="12">
      <c r="D12" s="4"/>
      <c r="E12" s="4"/>
      <c r="G12" s="4"/>
      <c r="H12" s="4"/>
    </row>
    <row r="13">
      <c r="D13" s="4"/>
      <c r="E13" s="4"/>
      <c r="G13" s="4"/>
      <c r="H13" s="4"/>
    </row>
    <row r="14">
      <c r="D14" s="4"/>
      <c r="E14" s="4"/>
      <c r="G14" s="4"/>
      <c r="H14" s="4"/>
    </row>
    <row r="15">
      <c r="D15" s="4"/>
      <c r="E15" s="4"/>
      <c r="G15" s="4"/>
      <c r="H15" s="4"/>
    </row>
    <row r="16">
      <c r="D16" s="4"/>
      <c r="E16" s="4"/>
      <c r="G16" s="4"/>
      <c r="H16" s="4"/>
    </row>
    <row r="17">
      <c r="D17" s="4"/>
      <c r="E17" s="4"/>
      <c r="G17" s="4"/>
      <c r="H17" s="4"/>
    </row>
    <row r="18">
      <c r="D18" s="4"/>
      <c r="E18" s="4"/>
      <c r="G18" s="4"/>
      <c r="H18" s="4"/>
    </row>
    <row r="19">
      <c r="D19" s="4"/>
      <c r="E19" s="4"/>
      <c r="G19" s="4"/>
      <c r="H19" s="4"/>
    </row>
    <row r="20">
      <c r="D20" s="4"/>
      <c r="E20" s="4"/>
      <c r="G20" s="4"/>
      <c r="H20" s="4"/>
    </row>
    <row r="21" ht="15.75" customHeight="1">
      <c r="D21" s="4"/>
      <c r="E21" s="4"/>
      <c r="G21" s="4"/>
      <c r="H21" s="4"/>
    </row>
    <row r="22" ht="15.75" customHeight="1">
      <c r="D22" s="4"/>
      <c r="E22" s="4"/>
      <c r="G22" s="4"/>
      <c r="H22" s="4"/>
    </row>
    <row r="23" ht="15.75" customHeight="1">
      <c r="D23" s="4"/>
      <c r="E23" s="4"/>
      <c r="G23" s="4"/>
      <c r="H23" s="4"/>
    </row>
    <row r="24" ht="15.75" customHeight="1">
      <c r="D24" s="4"/>
      <c r="E24" s="4"/>
      <c r="G24" s="4"/>
      <c r="H24" s="4"/>
    </row>
    <row r="25" ht="15.75" customHeight="1">
      <c r="D25" s="4"/>
      <c r="E25" s="4"/>
      <c r="G25" s="4"/>
      <c r="H25" s="4"/>
    </row>
    <row r="26" ht="15.75" customHeight="1">
      <c r="D26" s="4"/>
      <c r="E26" s="4"/>
      <c r="G26" s="4"/>
      <c r="H26" s="4"/>
    </row>
    <row r="27" ht="15.75" customHeight="1">
      <c r="D27" s="4"/>
      <c r="E27" s="4"/>
      <c r="G27" s="4"/>
      <c r="H27" s="4"/>
    </row>
    <row r="28" ht="15.75" customHeight="1">
      <c r="D28" s="4"/>
      <c r="E28" s="4"/>
      <c r="G28" s="4"/>
      <c r="H28" s="4"/>
    </row>
    <row r="29" ht="15.75" customHeight="1">
      <c r="D29" s="4"/>
      <c r="E29" s="4"/>
      <c r="G29" s="4"/>
      <c r="H29" s="4"/>
    </row>
    <row r="30" ht="15.75" customHeight="1">
      <c r="D30" s="4"/>
      <c r="E30" s="4"/>
      <c r="G30" s="4"/>
      <c r="H30" s="4"/>
    </row>
    <row r="31" ht="15.75" customHeight="1">
      <c r="D31" s="4"/>
      <c r="E31" s="4"/>
      <c r="G31" s="4"/>
      <c r="H31" s="4"/>
    </row>
    <row r="32" ht="15.75" customHeight="1">
      <c r="D32" s="4"/>
      <c r="E32" s="4"/>
      <c r="G32" s="4"/>
      <c r="H32" s="4"/>
    </row>
    <row r="33" ht="15.75" customHeight="1">
      <c r="D33" s="4"/>
      <c r="E33" s="4"/>
      <c r="G33" s="4"/>
      <c r="H33" s="4"/>
    </row>
    <row r="34" ht="15.75" customHeight="1">
      <c r="D34" s="4"/>
      <c r="E34" s="4"/>
      <c r="G34" s="4"/>
      <c r="H34" s="4"/>
    </row>
    <row r="35" ht="15.75" customHeight="1">
      <c r="D35" s="4"/>
      <c r="E35" s="4"/>
      <c r="G35" s="4"/>
      <c r="H35" s="4"/>
    </row>
    <row r="36" ht="15.75" customHeight="1">
      <c r="D36" s="4"/>
      <c r="E36" s="4"/>
      <c r="G36" s="4"/>
      <c r="H36" s="4"/>
    </row>
    <row r="37" ht="15.75" customHeight="1">
      <c r="D37" s="4"/>
      <c r="E37" s="4"/>
      <c r="G37" s="4"/>
      <c r="H37" s="4"/>
    </row>
    <row r="38" ht="15.75" customHeight="1">
      <c r="D38" s="4"/>
      <c r="E38" s="4"/>
      <c r="G38" s="4"/>
      <c r="H38" s="4"/>
    </row>
    <row r="39" ht="15.75" customHeight="1">
      <c r="D39" s="4"/>
      <c r="E39" s="4"/>
      <c r="G39" s="4"/>
      <c r="H39" s="4"/>
    </row>
    <row r="40" ht="15.75" customHeight="1">
      <c r="D40" s="4"/>
      <c r="E40" s="4"/>
      <c r="G40" s="4"/>
      <c r="H40" s="4"/>
    </row>
    <row r="41" ht="15.75" customHeight="1">
      <c r="D41" s="4"/>
      <c r="E41" s="4"/>
      <c r="G41" s="4"/>
      <c r="H41" s="4"/>
    </row>
    <row r="42" ht="15.75" customHeight="1">
      <c r="D42" s="4"/>
      <c r="E42" s="4"/>
      <c r="G42" s="4"/>
      <c r="H42" s="4"/>
    </row>
    <row r="43" ht="15.75" customHeight="1">
      <c r="D43" s="4"/>
      <c r="E43" s="4"/>
      <c r="G43" s="4"/>
      <c r="H43" s="4"/>
    </row>
    <row r="44" ht="15.75" customHeight="1">
      <c r="D44" s="4"/>
      <c r="E44" s="4"/>
      <c r="G44" s="4"/>
      <c r="H44" s="4"/>
    </row>
    <row r="45" ht="15.75" customHeight="1">
      <c r="D45" s="4"/>
      <c r="E45" s="4"/>
      <c r="G45" s="4"/>
      <c r="H45" s="4"/>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41.71"/>
    <col customWidth="1" min="3" max="3" width="48.29"/>
    <col customWidth="1" min="4" max="4" width="46.43"/>
    <col customWidth="1" min="5" max="26" width="8.86"/>
  </cols>
  <sheetData>
    <row r="1">
      <c r="A1" s="1" t="s">
        <v>0</v>
      </c>
      <c r="B1" s="1" t="s">
        <v>1</v>
      </c>
      <c r="C1" s="1" t="s">
        <v>123</v>
      </c>
      <c r="D1" s="1" t="s">
        <v>2</v>
      </c>
    </row>
    <row r="2">
      <c r="A2" s="2" t="s">
        <v>427</v>
      </c>
      <c r="B2" s="2" t="s">
        <v>359</v>
      </c>
      <c r="C2" s="2" t="s">
        <v>428</v>
      </c>
    </row>
    <row r="3">
      <c r="A3" s="2" t="s">
        <v>429</v>
      </c>
      <c r="B3" s="2" t="s">
        <v>367</v>
      </c>
      <c r="C3" s="2" t="s">
        <v>430</v>
      </c>
    </row>
    <row r="4">
      <c r="A4" s="2" t="s">
        <v>431</v>
      </c>
      <c r="B4" s="4" t="s">
        <v>432</v>
      </c>
      <c r="C4" s="2" t="s">
        <v>433</v>
      </c>
    </row>
    <row r="5">
      <c r="A5" s="2" t="s">
        <v>434</v>
      </c>
      <c r="B5" s="2" t="s">
        <v>383</v>
      </c>
      <c r="C5" s="2" t="s">
        <v>435</v>
      </c>
    </row>
    <row r="6">
      <c r="A6" s="2" t="s">
        <v>436</v>
      </c>
      <c r="B6" s="2" t="s">
        <v>390</v>
      </c>
      <c r="C6" s="2" t="s">
        <v>437</v>
      </c>
    </row>
    <row r="7">
      <c r="A7" s="2" t="s">
        <v>438</v>
      </c>
      <c r="B7" s="4" t="s">
        <v>397</v>
      </c>
      <c r="C7" s="2" t="s">
        <v>439</v>
      </c>
    </row>
    <row r="8">
      <c r="A8" s="2" t="s">
        <v>440</v>
      </c>
      <c r="B8" s="4" t="s">
        <v>403</v>
      </c>
      <c r="C8" s="2" t="s">
        <v>441</v>
      </c>
    </row>
    <row r="9">
      <c r="A9" s="2" t="s">
        <v>442</v>
      </c>
      <c r="B9" s="4" t="s">
        <v>443</v>
      </c>
      <c r="C9" s="2" t="s">
        <v>140</v>
      </c>
    </row>
    <row r="10">
      <c r="A10" s="2" t="s">
        <v>444</v>
      </c>
      <c r="B10" s="4" t="s">
        <v>445</v>
      </c>
      <c r="C10" s="2" t="s">
        <v>140</v>
      </c>
    </row>
    <row r="11">
      <c r="A11" s="2" t="s">
        <v>446</v>
      </c>
      <c r="B11" s="4" t="s">
        <v>424</v>
      </c>
      <c r="C11" s="10" t="s">
        <v>447</v>
      </c>
    </row>
    <row r="12">
      <c r="A12" s="2" t="s">
        <v>448</v>
      </c>
      <c r="B12" s="2" t="s">
        <v>449</v>
      </c>
      <c r="C12" s="2" t="s">
        <v>450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41.14"/>
    <col customWidth="1" min="3" max="3" width="25.14"/>
    <col customWidth="1" min="4" max="26" width="8.86"/>
  </cols>
  <sheetData>
    <row r="1">
      <c r="A1" s="1" t="s">
        <v>0</v>
      </c>
      <c r="B1" s="1" t="s">
        <v>2</v>
      </c>
      <c r="C1" s="1" t="s">
        <v>451</v>
      </c>
    </row>
    <row r="2">
      <c r="A2" s="2" t="s">
        <v>452</v>
      </c>
      <c r="B2" s="4" t="s">
        <v>453</v>
      </c>
      <c r="C2" s="11">
        <v>45698.0</v>
      </c>
    </row>
    <row r="3">
      <c r="A3" s="2" t="s">
        <v>454</v>
      </c>
      <c r="B3" s="4" t="s">
        <v>455</v>
      </c>
      <c r="C3" s="11">
        <v>45698.0</v>
      </c>
    </row>
    <row r="4">
      <c r="A4" s="2" t="s">
        <v>456</v>
      </c>
      <c r="B4" s="4" t="s">
        <v>457</v>
      </c>
      <c r="C4" s="11">
        <v>45698.0</v>
      </c>
    </row>
    <row r="5">
      <c r="A5" s="2" t="s">
        <v>458</v>
      </c>
      <c r="B5" s="4" t="s">
        <v>459</v>
      </c>
      <c r="C5" s="11">
        <v>45698.0</v>
      </c>
    </row>
    <row r="6">
      <c r="A6" s="2" t="s">
        <v>460</v>
      </c>
      <c r="B6" s="4" t="s">
        <v>461</v>
      </c>
      <c r="C6" s="11">
        <v>45698.0</v>
      </c>
    </row>
    <row r="7">
      <c r="A7" s="2" t="s">
        <v>462</v>
      </c>
      <c r="B7" s="4" t="s">
        <v>463</v>
      </c>
      <c r="C7" s="11">
        <v>45698.0</v>
      </c>
    </row>
    <row r="8">
      <c r="A8" s="2" t="s">
        <v>464</v>
      </c>
      <c r="B8" s="4" t="s">
        <v>465</v>
      </c>
      <c r="C8" s="11">
        <v>45698.0</v>
      </c>
    </row>
    <row r="9">
      <c r="A9" s="2" t="s">
        <v>466</v>
      </c>
      <c r="B9" s="4" t="s">
        <v>467</v>
      </c>
      <c r="C9" s="11">
        <v>45698.0</v>
      </c>
    </row>
    <row r="10">
      <c r="A10" s="2" t="s">
        <v>468</v>
      </c>
      <c r="B10" s="4" t="s">
        <v>469</v>
      </c>
      <c r="C10" s="11">
        <v>45698.0</v>
      </c>
    </row>
    <row r="11">
      <c r="A11" s="2" t="s">
        <v>470</v>
      </c>
      <c r="B11" s="4" t="s">
        <v>471</v>
      </c>
      <c r="C11" s="11">
        <v>45698.0</v>
      </c>
    </row>
    <row r="12">
      <c r="A12" s="2" t="s">
        <v>472</v>
      </c>
      <c r="B12" s="4" t="s">
        <v>473</v>
      </c>
      <c r="C12" s="11">
        <v>45698.0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132.43"/>
    <col customWidth="1" min="3" max="26" width="8.86"/>
  </cols>
  <sheetData>
    <row r="1">
      <c r="A1" s="1" t="s">
        <v>0</v>
      </c>
      <c r="B1" s="1" t="s">
        <v>2</v>
      </c>
    </row>
    <row r="2">
      <c r="A2" s="2" t="s">
        <v>474</v>
      </c>
      <c r="B2" s="2" t="s">
        <v>475</v>
      </c>
    </row>
    <row r="3">
      <c r="A3" s="2" t="s">
        <v>476</v>
      </c>
      <c r="B3" s="2" t="s">
        <v>477</v>
      </c>
    </row>
    <row r="4">
      <c r="A4" s="2" t="s">
        <v>478</v>
      </c>
      <c r="B4" s="2" t="s">
        <v>479</v>
      </c>
    </row>
    <row r="5">
      <c r="A5" s="2" t="s">
        <v>480</v>
      </c>
      <c r="B5" s="2" t="s">
        <v>481</v>
      </c>
    </row>
    <row r="6">
      <c r="A6" s="2" t="s">
        <v>482</v>
      </c>
      <c r="B6" s="2" t="s">
        <v>483</v>
      </c>
    </row>
    <row r="7">
      <c r="A7" s="2" t="s">
        <v>484</v>
      </c>
      <c r="B7" s="2" t="s">
        <v>485</v>
      </c>
    </row>
    <row r="8">
      <c r="A8" s="2" t="s">
        <v>486</v>
      </c>
      <c r="B8" s="2" t="s">
        <v>487</v>
      </c>
    </row>
    <row r="9">
      <c r="A9" s="2" t="s">
        <v>488</v>
      </c>
      <c r="B9" s="2" t="s">
        <v>489</v>
      </c>
    </row>
    <row r="10">
      <c r="A10" s="2" t="s">
        <v>490</v>
      </c>
      <c r="B10" s="2" t="s">
        <v>491</v>
      </c>
    </row>
    <row r="11">
      <c r="A11" s="2" t="s">
        <v>492</v>
      </c>
      <c r="B11" s="2" t="s">
        <v>493</v>
      </c>
    </row>
    <row r="12">
      <c r="A12" s="2" t="s">
        <v>494</v>
      </c>
      <c r="B12" s="2" t="s">
        <v>495</v>
      </c>
    </row>
    <row r="13">
      <c r="A13" s="2" t="s">
        <v>496</v>
      </c>
      <c r="B13" s="2" t="s">
        <v>497</v>
      </c>
    </row>
    <row r="14">
      <c r="A14" s="2" t="s">
        <v>498</v>
      </c>
      <c r="B14" s="2" t="s">
        <v>499</v>
      </c>
    </row>
    <row r="15">
      <c r="A15" s="2" t="s">
        <v>500</v>
      </c>
      <c r="B15" s="2" t="s">
        <v>501</v>
      </c>
    </row>
    <row r="16">
      <c r="A16" s="2" t="s">
        <v>502</v>
      </c>
      <c r="B16" s="2" t="s">
        <v>503</v>
      </c>
    </row>
    <row r="17">
      <c r="A17" s="2" t="s">
        <v>504</v>
      </c>
      <c r="B17" s="2" t="s">
        <v>505</v>
      </c>
    </row>
    <row r="18">
      <c r="A18" s="2" t="s">
        <v>506</v>
      </c>
      <c r="B18" s="2" t="s">
        <v>507</v>
      </c>
    </row>
    <row r="19">
      <c r="A19" s="2" t="s">
        <v>508</v>
      </c>
      <c r="B19" s="2" t="s">
        <v>509</v>
      </c>
    </row>
    <row r="20">
      <c r="A20" s="2" t="s">
        <v>510</v>
      </c>
      <c r="B20" s="2" t="s">
        <v>511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70.0"/>
    <col customWidth="1" min="3" max="26" width="8.86"/>
  </cols>
  <sheetData>
    <row r="1">
      <c r="A1" s="1" t="s">
        <v>0</v>
      </c>
      <c r="B1" s="1" t="s">
        <v>512</v>
      </c>
    </row>
    <row r="2">
      <c r="A2" s="2" t="s">
        <v>513</v>
      </c>
      <c r="B2" s="2" t="s">
        <v>514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1">
      <c r="A1" s="1" t="s">
        <v>0</v>
      </c>
      <c r="B1" s="1" t="s">
        <v>515</v>
      </c>
    </row>
    <row r="2">
      <c r="A2" s="2" t="s">
        <v>516</v>
      </c>
      <c r="B2" s="2" t="s">
        <v>104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1">
      <c r="A1" s="1" t="s">
        <v>0</v>
      </c>
      <c r="B1" s="1" t="s">
        <v>517</v>
      </c>
    </row>
    <row r="2">
      <c r="A2" s="2" t="s">
        <v>518</v>
      </c>
      <c r="B2" s="2" t="s">
        <v>519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1">
      <c r="A1" s="1" t="s">
        <v>0</v>
      </c>
      <c r="B1" s="1" t="s">
        <v>451</v>
      </c>
      <c r="C1" s="1" t="s">
        <v>520</v>
      </c>
    </row>
    <row r="2">
      <c r="A2" s="2" t="s">
        <v>521</v>
      </c>
      <c r="B2" s="2" t="s">
        <v>522</v>
      </c>
      <c r="C2" s="2" t="s">
        <v>523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1">
      <c r="A1" s="1" t="s">
        <v>0</v>
      </c>
      <c r="B1" s="1" t="s">
        <v>524</v>
      </c>
      <c r="C1" s="1" t="s">
        <v>525</v>
      </c>
    </row>
    <row r="2">
      <c r="A2" s="2" t="s">
        <v>526</v>
      </c>
      <c r="B2" s="2" t="s">
        <v>527</v>
      </c>
      <c r="C2" s="2" t="s">
        <v>522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1">
      <c r="A1" s="1" t="s">
        <v>0</v>
      </c>
      <c r="B1" s="1" t="s">
        <v>1</v>
      </c>
      <c r="C1" s="1" t="s">
        <v>451</v>
      </c>
    </row>
    <row r="2">
      <c r="A2" s="2" t="s">
        <v>528</v>
      </c>
      <c r="B2" s="2" t="s">
        <v>529</v>
      </c>
      <c r="C2" s="2" t="s">
        <v>530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1">
      <c r="A1" s="1" t="s">
        <v>0</v>
      </c>
      <c r="B1" s="1" t="s">
        <v>1</v>
      </c>
      <c r="C1" s="1" t="s">
        <v>2</v>
      </c>
    </row>
    <row r="2">
      <c r="A2" s="2" t="s">
        <v>531</v>
      </c>
      <c r="B2" s="2" t="s">
        <v>532</v>
      </c>
      <c r="C2" s="2" t="s">
        <v>533</v>
      </c>
    </row>
    <row r="3">
      <c r="A3" s="2" t="s">
        <v>534</v>
      </c>
      <c r="B3" s="2" t="s">
        <v>535</v>
      </c>
      <c r="C3" s="2" t="s">
        <v>536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1">
      <c r="A1" s="1" t="s">
        <v>0</v>
      </c>
      <c r="B1" s="1" t="s">
        <v>1</v>
      </c>
    </row>
    <row r="2">
      <c r="A2" s="2" t="s">
        <v>537</v>
      </c>
      <c r="B2" s="2" t="s">
        <v>538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1">
      <c r="A1" s="1" t="s">
        <v>0</v>
      </c>
      <c r="B1" s="1" t="s">
        <v>2</v>
      </c>
    </row>
    <row r="2">
      <c r="A2" s="2" t="s">
        <v>539</v>
      </c>
      <c r="B2" s="2" t="s">
        <v>540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1">
      <c r="A1" s="1" t="s">
        <v>0</v>
      </c>
      <c r="B1" s="1" t="s">
        <v>2</v>
      </c>
    </row>
    <row r="2">
      <c r="A2" s="2" t="s">
        <v>541</v>
      </c>
      <c r="B2" s="2" t="s">
        <v>542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1">
      <c r="A1" s="1" t="s">
        <v>0</v>
      </c>
      <c r="B1" s="1" t="s">
        <v>2</v>
      </c>
      <c r="C1" s="1" t="s">
        <v>543</v>
      </c>
    </row>
    <row r="2">
      <c r="A2" s="2" t="s">
        <v>544</v>
      </c>
      <c r="B2" s="2" t="s">
        <v>545</v>
      </c>
      <c r="C2" s="2" t="s">
        <v>546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1">
      <c r="A1" s="1" t="s">
        <v>0</v>
      </c>
      <c r="B1" s="1" t="s">
        <v>123</v>
      </c>
      <c r="C1" s="1" t="s">
        <v>2</v>
      </c>
    </row>
    <row r="2">
      <c r="A2" s="2" t="s">
        <v>547</v>
      </c>
      <c r="B2" s="2" t="s">
        <v>548</v>
      </c>
      <c r="C2" s="2" t="s">
        <v>549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1">
      <c r="A1" s="1" t="s">
        <v>0</v>
      </c>
      <c r="B1" s="1" t="s">
        <v>123</v>
      </c>
      <c r="C1" s="1" t="s">
        <v>2</v>
      </c>
    </row>
    <row r="2">
      <c r="A2" s="2" t="s">
        <v>550</v>
      </c>
      <c r="B2" s="2" t="s">
        <v>551</v>
      </c>
      <c r="C2" s="2" t="s">
        <v>552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1">
      <c r="A1" s="1" t="s">
        <v>553</v>
      </c>
      <c r="B1" s="1" t="s">
        <v>554</v>
      </c>
      <c r="C1" s="1" t="s">
        <v>123</v>
      </c>
    </row>
    <row r="2">
      <c r="A2" s="2" t="s">
        <v>3</v>
      </c>
      <c r="B2" s="2" t="s">
        <v>8</v>
      </c>
      <c r="C2" s="2" t="s">
        <v>555</v>
      </c>
    </row>
    <row r="3">
      <c r="A3" s="2" t="s">
        <v>8</v>
      </c>
      <c r="B3" s="2" t="s">
        <v>10</v>
      </c>
      <c r="C3" s="2" t="s">
        <v>556</v>
      </c>
    </row>
    <row r="4">
      <c r="A4" s="2" t="s">
        <v>3</v>
      </c>
      <c r="B4" s="2" t="s">
        <v>26</v>
      </c>
      <c r="C4" s="2" t="s">
        <v>557</v>
      </c>
    </row>
    <row r="5">
      <c r="A5" s="2" t="s">
        <v>26</v>
      </c>
      <c r="B5" s="2" t="s">
        <v>43</v>
      </c>
      <c r="C5" s="2" t="s">
        <v>558</v>
      </c>
    </row>
    <row r="6">
      <c r="A6" s="2" t="s">
        <v>3</v>
      </c>
      <c r="B6" s="2" t="s">
        <v>39</v>
      </c>
      <c r="C6" s="2" t="s">
        <v>559</v>
      </c>
    </row>
    <row r="7">
      <c r="A7" s="2" t="s">
        <v>39</v>
      </c>
      <c r="B7" s="2" t="s">
        <v>26</v>
      </c>
      <c r="C7" s="2" t="s">
        <v>560</v>
      </c>
    </row>
    <row r="8">
      <c r="A8" s="2" t="s">
        <v>3</v>
      </c>
      <c r="B8" s="2" t="s">
        <v>45</v>
      </c>
      <c r="C8" s="2" t="s">
        <v>561</v>
      </c>
    </row>
    <row r="9">
      <c r="A9" s="2" t="s">
        <v>3</v>
      </c>
      <c r="B9" s="2" t="s">
        <v>102</v>
      </c>
      <c r="C9" s="2" t="s">
        <v>562</v>
      </c>
    </row>
    <row r="10">
      <c r="A10" s="2" t="s">
        <v>102</v>
      </c>
      <c r="B10" s="2" t="s">
        <v>45</v>
      </c>
      <c r="C10" s="2" t="s">
        <v>563</v>
      </c>
    </row>
    <row r="11">
      <c r="A11" s="2" t="s">
        <v>3</v>
      </c>
      <c r="B11" s="2" t="s">
        <v>124</v>
      </c>
      <c r="C11" s="2" t="s">
        <v>564</v>
      </c>
    </row>
    <row r="12">
      <c r="A12" s="2" t="s">
        <v>124</v>
      </c>
      <c r="B12" s="2" t="s">
        <v>26</v>
      </c>
      <c r="C12" s="2" t="s">
        <v>565</v>
      </c>
    </row>
    <row r="13">
      <c r="A13" s="2" t="s">
        <v>124</v>
      </c>
      <c r="B13" s="2" t="s">
        <v>45</v>
      </c>
      <c r="C13" s="2" t="s">
        <v>566</v>
      </c>
    </row>
    <row r="14">
      <c r="A14" s="2" t="s">
        <v>124</v>
      </c>
      <c r="B14" s="2" t="s">
        <v>151</v>
      </c>
      <c r="C14" s="2" t="s">
        <v>567</v>
      </c>
    </row>
    <row r="15">
      <c r="A15" s="2" t="s">
        <v>568</v>
      </c>
      <c r="B15" s="2" t="s">
        <v>569</v>
      </c>
      <c r="C15" s="2" t="s">
        <v>570</v>
      </c>
    </row>
    <row r="16">
      <c r="A16" s="2" t="s">
        <v>571</v>
      </c>
      <c r="B16" s="2" t="s">
        <v>572</v>
      </c>
      <c r="C16" s="2" t="s">
        <v>570</v>
      </c>
    </row>
    <row r="17">
      <c r="A17" s="2" t="s">
        <v>573</v>
      </c>
      <c r="B17" s="2" t="s">
        <v>574</v>
      </c>
      <c r="C17" s="2" t="s">
        <v>570</v>
      </c>
    </row>
    <row r="18">
      <c r="A18" s="2" t="s">
        <v>575</v>
      </c>
      <c r="B18" s="2" t="s">
        <v>576</v>
      </c>
      <c r="C18" s="2" t="s">
        <v>570</v>
      </c>
    </row>
    <row r="19">
      <c r="A19" s="2" t="s">
        <v>45</v>
      </c>
      <c r="B19" s="2" t="s">
        <v>569</v>
      </c>
      <c r="C19" s="2" t="s">
        <v>577</v>
      </c>
    </row>
    <row r="20">
      <c r="A20" s="2" t="s">
        <v>45</v>
      </c>
      <c r="B20" s="2" t="s">
        <v>572</v>
      </c>
      <c r="C20" s="2" t="s">
        <v>577</v>
      </c>
    </row>
    <row r="21" ht="15.75" customHeight="1">
      <c r="A21" s="2" t="s">
        <v>45</v>
      </c>
      <c r="B21" s="2" t="s">
        <v>574</v>
      </c>
      <c r="C21" s="2" t="s">
        <v>577</v>
      </c>
    </row>
    <row r="22" ht="15.75" customHeight="1">
      <c r="A22" s="2" t="s">
        <v>45</v>
      </c>
      <c r="B22" s="2" t="s">
        <v>576</v>
      </c>
      <c r="C22" s="2" t="s">
        <v>577</v>
      </c>
    </row>
    <row r="23" ht="15.75" customHeight="1">
      <c r="A23" s="2" t="s">
        <v>45</v>
      </c>
      <c r="B23" s="2" t="s">
        <v>427</v>
      </c>
      <c r="C23" s="2" t="s">
        <v>578</v>
      </c>
    </row>
    <row r="24" ht="15.75" customHeight="1">
      <c r="A24" s="2" t="s">
        <v>427</v>
      </c>
      <c r="B24" s="2" t="s">
        <v>26</v>
      </c>
      <c r="C24" s="2" t="s">
        <v>579</v>
      </c>
    </row>
    <row r="25" ht="15.75" customHeight="1">
      <c r="A25" s="2" t="s">
        <v>3</v>
      </c>
      <c r="B25" s="2" t="s">
        <v>427</v>
      </c>
      <c r="C25" s="2" t="s">
        <v>580</v>
      </c>
    </row>
    <row r="26" ht="15.75" customHeight="1">
      <c r="A26" s="2" t="s">
        <v>3</v>
      </c>
      <c r="B26" s="2" t="s">
        <v>452</v>
      </c>
      <c r="C26" s="2" t="s">
        <v>581</v>
      </c>
    </row>
    <row r="27" ht="15.75" customHeight="1">
      <c r="A27" s="2" t="s">
        <v>452</v>
      </c>
      <c r="B27" s="2" t="s">
        <v>26</v>
      </c>
      <c r="C27" s="2" t="s">
        <v>582</v>
      </c>
    </row>
    <row r="28" ht="15.75" customHeight="1">
      <c r="A28" s="2" t="s">
        <v>452</v>
      </c>
      <c r="B28" s="2" t="s">
        <v>45</v>
      </c>
      <c r="C28" s="2" t="s">
        <v>583</v>
      </c>
    </row>
    <row r="29" ht="15.75" customHeight="1">
      <c r="A29" s="2" t="s">
        <v>3</v>
      </c>
      <c r="B29" s="2" t="s">
        <v>474</v>
      </c>
      <c r="C29" s="2" t="s">
        <v>584</v>
      </c>
    </row>
    <row r="30" ht="15.75" customHeight="1">
      <c r="A30" s="2" t="s">
        <v>26</v>
      </c>
      <c r="B30" s="2" t="s">
        <v>513</v>
      </c>
      <c r="C30" s="2" t="s">
        <v>585</v>
      </c>
    </row>
    <row r="31" ht="15.75" customHeight="1">
      <c r="A31" s="2" t="s">
        <v>513</v>
      </c>
      <c r="B31" s="2" t="s">
        <v>474</v>
      </c>
      <c r="C31" s="2" t="s">
        <v>586</v>
      </c>
    </row>
    <row r="32" ht="15.75" customHeight="1">
      <c r="A32" s="2" t="s">
        <v>474</v>
      </c>
      <c r="B32" s="2" t="s">
        <v>516</v>
      </c>
      <c r="C32" s="2" t="s">
        <v>587</v>
      </c>
    </row>
    <row r="33" ht="15.75" customHeight="1">
      <c r="A33" s="2" t="s">
        <v>474</v>
      </c>
      <c r="B33" s="2" t="s">
        <v>45</v>
      </c>
      <c r="C33" s="2" t="s">
        <v>588</v>
      </c>
    </row>
    <row r="34" ht="15.75" customHeight="1">
      <c r="A34" s="2" t="s">
        <v>474</v>
      </c>
      <c r="B34" s="2" t="s">
        <v>26</v>
      </c>
      <c r="C34" s="2" t="s">
        <v>560</v>
      </c>
    </row>
    <row r="35" ht="15.75" customHeight="1">
      <c r="A35" s="2" t="s">
        <v>518</v>
      </c>
      <c r="B35" s="2" t="s">
        <v>474</v>
      </c>
      <c r="C35" s="2" t="s">
        <v>589</v>
      </c>
    </row>
    <row r="36" ht="15.75" customHeight="1">
      <c r="A36" s="2" t="s">
        <v>521</v>
      </c>
      <c r="B36" s="2" t="s">
        <v>3</v>
      </c>
      <c r="C36" s="2" t="s">
        <v>590</v>
      </c>
    </row>
    <row r="37" ht="15.75" customHeight="1">
      <c r="A37" s="2" t="s">
        <v>3</v>
      </c>
      <c r="B37" s="2" t="s">
        <v>526</v>
      </c>
      <c r="C37" s="2" t="s">
        <v>591</v>
      </c>
    </row>
    <row r="38" ht="15.75" customHeight="1">
      <c r="A38" s="2" t="s">
        <v>3</v>
      </c>
      <c r="B38" s="2" t="s">
        <v>528</v>
      </c>
      <c r="C38" s="2" t="s">
        <v>592</v>
      </c>
    </row>
    <row r="39" ht="15.75" customHeight="1">
      <c r="A39" s="2" t="s">
        <v>45</v>
      </c>
      <c r="B39" s="2" t="s">
        <v>531</v>
      </c>
      <c r="C39" s="2" t="s">
        <v>593</v>
      </c>
    </row>
    <row r="40" ht="15.75" customHeight="1">
      <c r="A40" s="2" t="s">
        <v>45</v>
      </c>
      <c r="B40" s="2" t="s">
        <v>534</v>
      </c>
      <c r="C40" s="2" t="s">
        <v>593</v>
      </c>
    </row>
    <row r="41" ht="15.75" customHeight="1">
      <c r="A41" s="2" t="s">
        <v>534</v>
      </c>
      <c r="B41" s="2" t="s">
        <v>531</v>
      </c>
      <c r="C41" s="2" t="s">
        <v>594</v>
      </c>
    </row>
    <row r="42" ht="15.75" customHeight="1">
      <c r="A42" s="2" t="s">
        <v>3</v>
      </c>
      <c r="B42" s="2" t="s">
        <v>531</v>
      </c>
      <c r="C42" s="2" t="s">
        <v>595</v>
      </c>
    </row>
    <row r="43" ht="15.75" customHeight="1">
      <c r="A43" s="2" t="s">
        <v>3</v>
      </c>
      <c r="B43" s="2" t="s">
        <v>534</v>
      </c>
      <c r="C43" s="2" t="s">
        <v>595</v>
      </c>
    </row>
    <row r="44" ht="15.75" customHeight="1">
      <c r="A44" s="2" t="s">
        <v>3</v>
      </c>
      <c r="B44" s="2" t="s">
        <v>537</v>
      </c>
      <c r="C44" s="2" t="s">
        <v>596</v>
      </c>
    </row>
    <row r="45" ht="15.75" customHeight="1">
      <c r="A45" s="2" t="s">
        <v>537</v>
      </c>
      <c r="B45" s="2" t="s">
        <v>539</v>
      </c>
      <c r="C45" s="2" t="s">
        <v>597</v>
      </c>
    </row>
    <row r="46" ht="15.75" customHeight="1">
      <c r="A46" s="2" t="s">
        <v>537</v>
      </c>
      <c r="B46" s="2" t="s">
        <v>541</v>
      </c>
      <c r="C46" s="2" t="s">
        <v>597</v>
      </c>
    </row>
    <row r="47" ht="15.75" customHeight="1">
      <c r="A47" s="2" t="s">
        <v>537</v>
      </c>
      <c r="B47" s="2" t="s">
        <v>544</v>
      </c>
      <c r="C47" s="2" t="s">
        <v>598</v>
      </c>
    </row>
    <row r="48" ht="15.75" customHeight="1">
      <c r="A48" s="2" t="s">
        <v>544</v>
      </c>
      <c r="B48" s="2" t="s">
        <v>547</v>
      </c>
      <c r="C48" s="2" t="s">
        <v>599</v>
      </c>
    </row>
    <row r="49" ht="15.75" customHeight="1">
      <c r="A49" s="2" t="s">
        <v>544</v>
      </c>
      <c r="B49" s="2" t="s">
        <v>550</v>
      </c>
      <c r="C49" s="2" t="s">
        <v>600</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